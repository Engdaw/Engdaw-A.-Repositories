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OneDrive\Desktop\Jan Resource Usage\"/>
    </mc:Choice>
  </mc:AlternateContent>
  <xr:revisionPtr revIDLastSave="0" documentId="13_ncr:1_{4E5EFCBB-941F-4728-85B4-A6A1FA09807A}" xr6:coauthVersionLast="47" xr6:coauthVersionMax="47" xr10:uidLastSave="{00000000-0000-0000-0000-000000000000}"/>
  <bookViews>
    <workbookView xWindow="15" yWindow="0" windowWidth="20475" windowHeight="10920" xr2:uid="{00000000-000D-0000-FFFF-FFFF00000000}"/>
  </bookViews>
  <sheets>
    <sheet name="Tir" sheetId="3" r:id="rId1"/>
  </sheets>
  <calcPr calcId="191029"/>
</workbook>
</file>

<file path=xl/calcChain.xml><?xml version="1.0" encoding="utf-8"?>
<calcChain xmlns="http://schemas.openxmlformats.org/spreadsheetml/2006/main">
  <c r="F75" i="3" l="1"/>
  <c r="F76" i="3"/>
  <c r="F77" i="3"/>
  <c r="F78" i="3"/>
  <c r="F74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50" i="3"/>
  <c r="F51" i="3"/>
  <c r="F52" i="3"/>
  <c r="F53" i="3"/>
  <c r="F54" i="3"/>
  <c r="F30" i="3"/>
  <c r="F9" i="3"/>
  <c r="F10" i="3"/>
  <c r="F11" i="3"/>
  <c r="F12" i="3"/>
  <c r="F13" i="3"/>
  <c r="F14" i="3"/>
  <c r="F8" i="3"/>
  <c r="F123" i="3"/>
  <c r="F118" i="3"/>
  <c r="F104" i="3"/>
  <c r="F107" i="3"/>
  <c r="F108" i="3"/>
  <c r="F109" i="3"/>
  <c r="F110" i="3"/>
  <c r="F111" i="3"/>
  <c r="F103" i="3"/>
  <c r="F90" i="3"/>
  <c r="F92" i="3"/>
  <c r="F93" i="3"/>
  <c r="F94" i="3"/>
  <c r="F96" i="3"/>
  <c r="F89" i="3"/>
  <c r="I117" i="3" l="1"/>
  <c r="I102" i="3"/>
  <c r="I88" i="3"/>
  <c r="I72" i="3"/>
  <c r="I73" i="3"/>
  <c r="I71" i="3"/>
  <c r="I56" i="3"/>
  <c r="I19" i="3"/>
  <c r="I20" i="3"/>
  <c r="I21" i="3"/>
  <c r="I22" i="3"/>
  <c r="I23" i="3"/>
  <c r="I24" i="3"/>
  <c r="I25" i="3"/>
  <c r="I26" i="3"/>
  <c r="I27" i="3"/>
  <c r="I29" i="3"/>
  <c r="I18" i="3"/>
  <c r="I7" i="3"/>
</calcChain>
</file>

<file path=xl/sharedStrings.xml><?xml version="1.0" encoding="utf-8"?>
<sst xmlns="http://schemas.openxmlformats.org/spreadsheetml/2006/main" count="130" uniqueCount="60">
  <si>
    <t>Item No</t>
  </si>
  <si>
    <t>Type of Labour</t>
  </si>
  <si>
    <t>Type of work</t>
  </si>
  <si>
    <t>Project</t>
  </si>
  <si>
    <t>Mehal Sayint</t>
  </si>
  <si>
    <t>Sayint Adjibar</t>
  </si>
  <si>
    <t xml:space="preserve">Used  </t>
  </si>
  <si>
    <t>Required (as per the standard)</t>
  </si>
  <si>
    <t>Percent usage</t>
  </si>
  <si>
    <t>Mason</t>
  </si>
  <si>
    <t>Total sum</t>
  </si>
  <si>
    <t>D.Labor</t>
  </si>
  <si>
    <t>Construction of RCC class C-25 for pipe encasement for road, River, Gully and Road crossings as per standard drawings, price includes excavation, reinforcement, formwork, backfill and any other necessary works.</t>
  </si>
  <si>
    <t>sand</t>
  </si>
  <si>
    <t>gravel</t>
  </si>
  <si>
    <t>Cement</t>
  </si>
  <si>
    <t>Stone</t>
  </si>
  <si>
    <t>Prepare and provide as built drawings of all works constructed under this contract as per the specification and to the satisfaction of engineer or client (Including the existing system)</t>
  </si>
  <si>
    <t>Supply and erect 50mm*50mm*3mm angle iron stands with c/c spaced at 100cm to a height of 2.3m above ground level with 7 lines of barbed wire mesh of 200mm and 400mm spacing, the bottom 5 and upper 2 lines, respectively with cross diagonal &amp; to a depth of 60cm embedded in concrete foundation of 300mm*300mm.</t>
  </si>
  <si>
    <t>hard rock excavation of pipe trench for   road crossing</t>
  </si>
  <si>
    <t>door fixing</t>
  </si>
  <si>
    <t>overlap  HDPE pipe  welding</t>
  </si>
  <si>
    <t xml:space="preserve"> carpenter</t>
  </si>
  <si>
    <t>Trench excavation Depth up to 80cm and width up to 60cm.(By Labour)</t>
  </si>
  <si>
    <t>Back fill with  excavated soil  (By Labour)</t>
  </si>
  <si>
    <t>Concrete Work</t>
  </si>
  <si>
    <t>Bulk excavation in ordinary soil to a depth not greater than 1.5m</t>
  </si>
  <si>
    <t>Supply and place 250 mm thick hard trachyte stone hard core</t>
  </si>
  <si>
    <t>30mm thick sand and cement floor screed</t>
  </si>
  <si>
    <t>Supply and erect 1500x2100mm gate of RHS 2.5 frame and 2mm metal sheet, complete with hinges and lock</t>
  </si>
  <si>
    <t>Stone dressing</t>
  </si>
  <si>
    <t>valv chamber cover fixiing</t>
  </si>
  <si>
    <t>Class K9 DCI DN250mm pipe</t>
  </si>
  <si>
    <t>HDPE PE 100 PN 25OD 280 mm</t>
  </si>
  <si>
    <t>a. Soft rock     (by labour) ( not contrat work)</t>
  </si>
  <si>
    <t>b. Hard rock  (by labour) (not contrat work)</t>
  </si>
  <si>
    <t>form work dismantling ( )</t>
  </si>
  <si>
    <t>Material utilization</t>
  </si>
  <si>
    <t>Tir /2018 Labor utilization</t>
  </si>
  <si>
    <t>Tir/2018</t>
  </si>
  <si>
    <t>Supply and erect fence of  40mm*40mm*3mm angle iron stands c/c spaced at 100cm to a height of 2m above ground level with 6 lines of barbed wire 200mm and 400mm spacing the bottom 4 and upper 2 lines, respectively with cross diagonal &amp; to a depth of 50cm embedded in concrete foundation of 200mm*200mm.</t>
  </si>
  <si>
    <t>Ø 12mm</t>
  </si>
  <si>
    <t>Sawn Zigba form work</t>
  </si>
  <si>
    <t>curing work</t>
  </si>
  <si>
    <t>C-20 concrete</t>
  </si>
  <si>
    <t>Barebender</t>
  </si>
  <si>
    <t>Re-fill and properly compaction of the excavated material with native Soil for all excavated depth</t>
  </si>
  <si>
    <t>OD63mm pipe installation</t>
  </si>
  <si>
    <t>OD40mm compression end plug</t>
  </si>
  <si>
    <t>3cm thick Cement scread for base and roof slab at the top</t>
  </si>
  <si>
    <t>Supply and erect 50mm*50mm*3mm angle iron stands with c/c spaced at 150cm to a height of 2.3m above ground level with 7 lines of barbed wire of 2.5mm thick, 200mm and 400mm spacing,  the bottom 5 and upper 2 lines,   respectively with cross diagonal &amp; to a depth of 60cm embedded in concrete foundation of 300mm*300mm</t>
  </si>
  <si>
    <t>Three coats of plastering to internal walls of manhole, using 1:3 mortar</t>
  </si>
  <si>
    <t>Pointing stone masonry wall of water point with rich mortar</t>
  </si>
  <si>
    <t>Supply &amp; fix 3mm thick sheet metal 80cmX80cm access cover with 40X40mm angle iron frame latch and lock for reservoir manhole</t>
  </si>
  <si>
    <t>Supply and erect 50mm*50mm*3mm angle iron stands with c/c spaced at 200cm to a height of 2.1m above ground level with 10lines of barbed wiremesh with cross diagonal &amp; to a depth of 70cm embedded in concrete foundation of 300mm*150mm</t>
  </si>
  <si>
    <t>Form work Dismantling at 500m3</t>
  </si>
  <si>
    <t>Re excavation and back fill for over lap</t>
  </si>
  <si>
    <t>Chizling at 500m3, 100m3 and existing water point</t>
  </si>
  <si>
    <t>formork dismantling for  25 m3 reservoier</t>
  </si>
  <si>
    <t>Trench excavation in ordinary soil for pipe line to a depth of 0.9m   and a width of 60cm and disposal of surplus excavated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</si>
</sst>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;[Red]0.00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0.1499984740745262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 tint="0.1499984740745262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Sylfaen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56">
    <xf numFmtId="0" fontId="0" fillId="0" borderId="0" xfId="0"/>
    <xf numFmtId="0" fontId="3" fillId="0" borderId="0" xfId="0" applyFont="1"/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8" xfId="0" applyFont="1" applyBorder="1"/>
    <xf numFmtId="0" fontId="3" fillId="0" borderId="8" xfId="0" applyFont="1" applyBorder="1" applyAlignment="1">
      <alignment wrapText="1"/>
    </xf>
    <xf numFmtId="164" fontId="3" fillId="0" borderId="8" xfId="0" applyNumberFormat="1" applyFont="1" applyBorder="1"/>
    <xf numFmtId="0" fontId="3" fillId="0" borderId="9" xfId="0" applyFont="1" applyBorder="1"/>
    <xf numFmtId="0" fontId="5" fillId="0" borderId="17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center" vertical="top" wrapText="1"/>
    </xf>
    <xf numFmtId="43" fontId="3" fillId="0" borderId="17" xfId="1" applyFont="1" applyBorder="1"/>
    <xf numFmtId="10" fontId="3" fillId="0" borderId="17" xfId="2" applyNumberFormat="1" applyFont="1" applyBorder="1"/>
    <xf numFmtId="164" fontId="3" fillId="0" borderId="17" xfId="2" applyNumberFormat="1" applyFont="1" applyBorder="1"/>
    <xf numFmtId="43" fontId="3" fillId="0" borderId="18" xfId="1" applyFont="1" applyBorder="1"/>
    <xf numFmtId="0" fontId="6" fillId="0" borderId="17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4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left" vertical="top" wrapText="1"/>
    </xf>
    <xf numFmtId="0" fontId="5" fillId="5" borderId="17" xfId="0" applyFont="1" applyFill="1" applyBorder="1" applyAlignment="1">
      <alignment horizontal="center" vertical="top" wrapText="1"/>
    </xf>
    <xf numFmtId="43" fontId="3" fillId="5" borderId="17" xfId="1" applyFont="1" applyFill="1" applyBorder="1"/>
    <xf numFmtId="10" fontId="3" fillId="5" borderId="17" xfId="2" applyNumberFormat="1" applyFont="1" applyFill="1" applyBorder="1"/>
    <xf numFmtId="10" fontId="3" fillId="5" borderId="18" xfId="2" applyNumberFormat="1" applyFont="1" applyFill="1" applyBorder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0" borderId="17" xfId="0" applyFont="1" applyBorder="1" applyAlignment="1">
      <alignment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7" xfId="0" applyFont="1" applyBorder="1" applyAlignment="1">
      <alignment vertical="top" wrapText="1"/>
    </xf>
    <xf numFmtId="0" fontId="7" fillId="0" borderId="17" xfId="0" applyFont="1" applyBorder="1" applyAlignment="1">
      <alignment horizontal="left" vertical="center" wrapText="1"/>
    </xf>
    <xf numFmtId="0" fontId="3" fillId="6" borderId="17" xfId="0" applyFont="1" applyFill="1" applyBorder="1" applyAlignment="1">
      <alignment wrapText="1"/>
    </xf>
    <xf numFmtId="43" fontId="3" fillId="6" borderId="17" xfId="1" applyFont="1" applyFill="1" applyBorder="1"/>
    <xf numFmtId="164" fontId="3" fillId="6" borderId="17" xfId="2" applyNumberFormat="1" applyFont="1" applyFill="1" applyBorder="1"/>
    <xf numFmtId="10" fontId="3" fillId="6" borderId="17" xfId="2" applyNumberFormat="1" applyFont="1" applyFill="1" applyBorder="1"/>
    <xf numFmtId="43" fontId="3" fillId="6" borderId="18" xfId="1" applyFont="1" applyFill="1" applyBorder="1"/>
    <xf numFmtId="0" fontId="3" fillId="4" borderId="17" xfId="0" applyFont="1" applyFill="1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/>
    <xf numFmtId="0" fontId="3" fillId="6" borderId="19" xfId="0" applyFont="1" applyFill="1" applyBorder="1"/>
    <xf numFmtId="0" fontId="3" fillId="6" borderId="17" xfId="0" applyFont="1" applyFill="1" applyBorder="1"/>
    <xf numFmtId="10" fontId="3" fillId="6" borderId="18" xfId="2" applyNumberFormat="1" applyFont="1" applyFill="1" applyBorder="1"/>
    <xf numFmtId="0" fontId="3" fillId="4" borderId="19" xfId="0" applyFont="1" applyFill="1" applyBorder="1"/>
    <xf numFmtId="0" fontId="3" fillId="4" borderId="15" xfId="0" applyFont="1" applyFill="1" applyBorder="1"/>
    <xf numFmtId="0" fontId="3" fillId="6" borderId="16" xfId="0" applyFont="1" applyFill="1" applyBorder="1"/>
    <xf numFmtId="43" fontId="3" fillId="6" borderId="16" xfId="1" applyFont="1" applyFill="1" applyBorder="1"/>
    <xf numFmtId="43" fontId="3" fillId="6" borderId="20" xfId="1" applyFont="1" applyFill="1" applyBorder="1"/>
    <xf numFmtId="0" fontId="3" fillId="4" borderId="16" xfId="0" applyFont="1" applyFill="1" applyBorder="1" applyAlignment="1">
      <alignment wrapText="1"/>
    </xf>
    <xf numFmtId="0" fontId="3" fillId="0" borderId="15" xfId="0" applyFont="1" applyBorder="1"/>
    <xf numFmtId="0" fontId="3" fillId="0" borderId="16" xfId="0" applyFont="1" applyBorder="1" applyAlignment="1">
      <alignment wrapText="1"/>
    </xf>
    <xf numFmtId="0" fontId="6" fillId="7" borderId="17" xfId="0" applyFont="1" applyFill="1" applyBorder="1" applyAlignment="1">
      <alignment vertical="top" wrapText="1"/>
    </xf>
    <xf numFmtId="0" fontId="6" fillId="0" borderId="17" xfId="0" applyFont="1" applyBorder="1" applyAlignment="1">
      <alignment horizontal="left" vertical="center" wrapText="1"/>
    </xf>
    <xf numFmtId="0" fontId="3" fillId="0" borderId="16" xfId="0" applyFont="1" applyBorder="1"/>
    <xf numFmtId="0" fontId="3" fillId="0" borderId="8" xfId="0" applyFont="1" applyBorder="1" applyAlignment="1">
      <alignment vertical="center"/>
    </xf>
    <xf numFmtId="43" fontId="10" fillId="0" borderId="16" xfId="1" applyFont="1" applyBorder="1" applyAlignment="1">
      <alignment wrapText="1"/>
    </xf>
    <xf numFmtId="0" fontId="3" fillId="0" borderId="15" xfId="0" applyFont="1" applyBorder="1" applyAlignment="1">
      <alignment horizontal="center" vertical="center"/>
    </xf>
    <xf numFmtId="165" fontId="3" fillId="0" borderId="8" xfId="0" applyNumberFormat="1" applyFont="1" applyBorder="1"/>
    <xf numFmtId="9" fontId="3" fillId="0" borderId="17" xfId="2" applyFont="1" applyBorder="1"/>
    <xf numFmtId="0" fontId="7" fillId="0" borderId="8" xfId="0" applyFont="1" applyBorder="1"/>
    <xf numFmtId="2" fontId="7" fillId="0" borderId="8" xfId="0" applyNumberFormat="1" applyFont="1" applyBorder="1"/>
    <xf numFmtId="164" fontId="7" fillId="0" borderId="8" xfId="0" applyNumberFormat="1" applyFont="1" applyBorder="1"/>
    <xf numFmtId="0" fontId="7" fillId="0" borderId="9" xfId="0" applyFont="1" applyBorder="1"/>
    <xf numFmtId="43" fontId="7" fillId="0" borderId="17" xfId="1" applyFont="1" applyBorder="1"/>
    <xf numFmtId="10" fontId="7" fillId="0" borderId="17" xfId="2" applyNumberFormat="1" applyFont="1" applyBorder="1"/>
    <xf numFmtId="164" fontId="7" fillId="0" borderId="17" xfId="2" applyNumberFormat="1" applyFont="1" applyBorder="1"/>
    <xf numFmtId="43" fontId="7" fillId="0" borderId="18" xfId="1" applyFont="1" applyBorder="1"/>
    <xf numFmtId="0" fontId="7" fillId="5" borderId="7" xfId="0" applyFont="1" applyFill="1" applyBorder="1" applyAlignment="1">
      <alignment horizontal="center" vertical="center"/>
    </xf>
    <xf numFmtId="43" fontId="7" fillId="5" borderId="17" xfId="1" applyFont="1" applyFill="1" applyBorder="1"/>
    <xf numFmtId="10" fontId="7" fillId="5" borderId="17" xfId="2" applyNumberFormat="1" applyFont="1" applyFill="1" applyBorder="1"/>
    <xf numFmtId="10" fontId="7" fillId="5" borderId="18" xfId="2" applyNumberFormat="1" applyFont="1" applyFill="1" applyBorder="1"/>
    <xf numFmtId="10" fontId="7" fillId="0" borderId="18" xfId="2" applyNumberFormat="1" applyFont="1" applyBorder="1"/>
    <xf numFmtId="0" fontId="7" fillId="6" borderId="17" xfId="0" applyFont="1" applyFill="1" applyBorder="1" applyAlignment="1">
      <alignment wrapText="1"/>
    </xf>
    <xf numFmtId="43" fontId="7" fillId="6" borderId="17" xfId="1" applyFont="1" applyFill="1" applyBorder="1"/>
    <xf numFmtId="164" fontId="7" fillId="6" borderId="17" xfId="2" applyNumberFormat="1" applyFont="1" applyFill="1" applyBorder="1"/>
    <xf numFmtId="10" fontId="7" fillId="6" borderId="17" xfId="2" applyNumberFormat="1" applyFont="1" applyFill="1" applyBorder="1"/>
    <xf numFmtId="43" fontId="7" fillId="6" borderId="18" xfId="1" applyFont="1" applyFill="1" applyBorder="1"/>
    <xf numFmtId="0" fontId="7" fillId="6" borderId="17" xfId="0" applyFont="1" applyFill="1" applyBorder="1"/>
    <xf numFmtId="10" fontId="7" fillId="6" borderId="18" xfId="2" applyNumberFormat="1" applyFont="1" applyFill="1" applyBorder="1"/>
    <xf numFmtId="43" fontId="7" fillId="0" borderId="16" xfId="1" applyFont="1" applyBorder="1"/>
    <xf numFmtId="43" fontId="7" fillId="0" borderId="20" xfId="1" applyFont="1" applyBorder="1"/>
    <xf numFmtId="0" fontId="7" fillId="6" borderId="16" xfId="0" applyFont="1" applyFill="1" applyBorder="1"/>
    <xf numFmtId="43" fontId="7" fillId="6" borderId="16" xfId="1" applyFont="1" applyFill="1" applyBorder="1"/>
    <xf numFmtId="43" fontId="7" fillId="6" borderId="20" xfId="1" applyFont="1" applyFill="1" applyBorder="1"/>
    <xf numFmtId="0" fontId="3" fillId="0" borderId="6" xfId="0" applyFont="1" applyBorder="1"/>
    <xf numFmtId="0" fontId="7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top" wrapText="1"/>
    </xf>
    <xf numFmtId="0" fontId="5" fillId="4" borderId="17" xfId="0" applyFont="1" applyFill="1" applyBorder="1" applyAlignment="1">
      <alignment horizontal="left" vertical="center" wrapText="1"/>
    </xf>
    <xf numFmtId="43" fontId="7" fillId="4" borderId="17" xfId="1" applyFont="1" applyFill="1" applyBorder="1"/>
    <xf numFmtId="0" fontId="6" fillId="0" borderId="17" xfId="0" applyFont="1" applyBorder="1" applyAlignment="1">
      <alignment vertical="top" wrapText="1"/>
    </xf>
    <xf numFmtId="0" fontId="6" fillId="7" borderId="17" xfId="0" applyFont="1" applyFill="1" applyBorder="1" applyAlignment="1">
      <alignment horizontal="justify" vertical="top" wrapText="1"/>
    </xf>
    <xf numFmtId="43" fontId="14" fillId="0" borderId="17" xfId="1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/>
    </xf>
    <xf numFmtId="43" fontId="7" fillId="0" borderId="16" xfId="1" applyFont="1" applyBorder="1" applyAlignment="1">
      <alignment horizontal="center"/>
    </xf>
    <xf numFmtId="0" fontId="3" fillId="0" borderId="7" xfId="0" applyFont="1" applyBorder="1"/>
    <xf numFmtId="0" fontId="3" fillId="4" borderId="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top" wrapText="1"/>
    </xf>
    <xf numFmtId="43" fontId="3" fillId="4" borderId="17" xfId="1" applyFont="1" applyFill="1" applyBorder="1"/>
    <xf numFmtId="10" fontId="3" fillId="4" borderId="17" xfId="2" applyNumberFormat="1" applyFont="1" applyFill="1" applyBorder="1"/>
    <xf numFmtId="10" fontId="3" fillId="4" borderId="18" xfId="2" applyNumberFormat="1" applyFont="1" applyFill="1" applyBorder="1"/>
    <xf numFmtId="0" fontId="0" fillId="4" borderId="0" xfId="0" applyFill="1"/>
    <xf numFmtId="0" fontId="3" fillId="4" borderId="1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164" fontId="3" fillId="4" borderId="17" xfId="2" applyNumberFormat="1" applyFont="1" applyFill="1" applyBorder="1"/>
    <xf numFmtId="43" fontId="3" fillId="4" borderId="18" xfId="1" applyFont="1" applyFill="1" applyBorder="1"/>
    <xf numFmtId="2" fontId="15" fillId="0" borderId="17" xfId="1" applyNumberFormat="1" applyFont="1" applyBorder="1" applyAlignment="1">
      <alignment horizontal="left" vertical="center" wrapText="1"/>
    </xf>
    <xf numFmtId="2" fontId="3" fillId="4" borderId="8" xfId="0" applyNumberFormat="1" applyFont="1" applyFill="1" applyBorder="1"/>
    <xf numFmtId="0" fontId="11" fillId="0" borderId="0" xfId="0" applyFont="1"/>
    <xf numFmtId="0" fontId="16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7" fillId="4" borderId="17" xfId="1" applyNumberFormat="1" applyFont="1" applyFill="1" applyBorder="1" applyAlignment="1">
      <alignment horizontal="left" vertical="center" wrapText="1"/>
    </xf>
    <xf numFmtId="43" fontId="10" fillId="0" borderId="17" xfId="1" applyFont="1" applyBorder="1" applyAlignment="1">
      <alignment wrapText="1"/>
    </xf>
    <xf numFmtId="0" fontId="3" fillId="6" borderId="14" xfId="0" applyFont="1" applyFill="1" applyBorder="1" applyAlignment="1">
      <alignment horizontal="center" vertical="center"/>
    </xf>
    <xf numFmtId="0" fontId="3" fillId="6" borderId="0" xfId="0" applyFont="1" applyFill="1"/>
    <xf numFmtId="0" fontId="0" fillId="6" borderId="0" xfId="0" applyFill="1"/>
    <xf numFmtId="2" fontId="15" fillId="4" borderId="17" xfId="1" applyNumberFormat="1" applyFont="1" applyFill="1" applyBorder="1" applyAlignment="1">
      <alignment horizontal="left" vertical="center" wrapText="1"/>
    </xf>
    <xf numFmtId="0" fontId="18" fillId="0" borderId="0" xfId="0" applyFont="1"/>
    <xf numFmtId="2" fontId="19" fillId="0" borderId="17" xfId="1" applyNumberFormat="1" applyFont="1" applyBorder="1" applyAlignment="1">
      <alignment horizontal="left" vertical="center" wrapText="1"/>
    </xf>
    <xf numFmtId="2" fontId="15" fillId="8" borderId="17" xfId="1" applyNumberFormat="1" applyFont="1" applyFill="1" applyBorder="1" applyAlignment="1">
      <alignment horizontal="left" vertical="center" wrapText="1"/>
    </xf>
    <xf numFmtId="43" fontId="9" fillId="0" borderId="17" xfId="1" applyFont="1" applyBorder="1"/>
    <xf numFmtId="43" fontId="2" fillId="0" borderId="17" xfId="1" applyFont="1" applyBorder="1"/>
    <xf numFmtId="0" fontId="3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141 2" xfId="3" xr:uid="{00000000-0005-0000-0000-000002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25"/>
  <sheetViews>
    <sheetView tabSelected="1" workbookViewId="0">
      <selection activeCell="G81" sqref="G81"/>
    </sheetView>
  </sheetViews>
  <sheetFormatPr defaultRowHeight="15" x14ac:dyDescent="0.25"/>
  <cols>
    <col min="1" max="1" width="6" customWidth="1"/>
    <col min="2" max="2" width="12" customWidth="1"/>
    <col min="3" max="3" width="42.5703125" customWidth="1"/>
    <col min="4" max="4" width="8.5703125" customWidth="1"/>
    <col min="5" max="5" width="15.5703125" bestFit="1" customWidth="1"/>
    <col min="6" max="6" width="10.28515625" customWidth="1"/>
    <col min="7" max="8" width="14.7109375" bestFit="1" customWidth="1"/>
    <col min="9" max="9" width="15" bestFit="1" customWidth="1"/>
    <col min="10" max="11" width="14.7109375" bestFit="1" customWidth="1"/>
    <col min="12" max="12" width="12.7109375" bestFit="1" customWidth="1"/>
  </cols>
  <sheetData>
    <row r="2" spans="1:15" ht="21.75" thickBot="1" x14ac:dyDescent="0.4">
      <c r="C2" s="109" t="s">
        <v>38</v>
      </c>
    </row>
    <row r="3" spans="1:15" x14ac:dyDescent="0.25">
      <c r="A3" s="135" t="s">
        <v>0</v>
      </c>
      <c r="B3" s="138" t="s">
        <v>1</v>
      </c>
      <c r="C3" s="138" t="s">
        <v>2</v>
      </c>
      <c r="D3" s="143" t="s">
        <v>3</v>
      </c>
      <c r="E3" s="144"/>
      <c r="F3" s="144"/>
      <c r="G3" s="144"/>
      <c r="H3" s="144"/>
      <c r="I3" s="144"/>
      <c r="J3" s="144"/>
      <c r="K3" s="144"/>
      <c r="L3" s="145"/>
      <c r="M3" s="1"/>
      <c r="N3" s="135"/>
      <c r="O3" s="148"/>
    </row>
    <row r="4" spans="1:15" x14ac:dyDescent="0.25">
      <c r="A4" s="136"/>
      <c r="B4" s="139"/>
      <c r="C4" s="139"/>
      <c r="D4" s="146" t="s">
        <v>4</v>
      </c>
      <c r="E4" s="146"/>
      <c r="F4" s="146"/>
      <c r="G4" s="146" t="s">
        <v>5</v>
      </c>
      <c r="H4" s="146"/>
      <c r="I4" s="146"/>
      <c r="J4" s="146"/>
      <c r="K4" s="146"/>
      <c r="L4" s="147"/>
      <c r="M4" s="1"/>
      <c r="N4" s="136"/>
      <c r="O4" s="149"/>
    </row>
    <row r="5" spans="1:15" ht="43.5" thickBot="1" x14ac:dyDescent="0.3">
      <c r="A5" s="137"/>
      <c r="B5" s="140"/>
      <c r="C5" s="140"/>
      <c r="D5" s="2" t="s">
        <v>6</v>
      </c>
      <c r="E5" s="3" t="s">
        <v>7</v>
      </c>
      <c r="F5" s="3" t="s">
        <v>8</v>
      </c>
      <c r="G5" s="2" t="s">
        <v>6</v>
      </c>
      <c r="H5" s="3" t="s">
        <v>7</v>
      </c>
      <c r="I5" s="3" t="s">
        <v>8</v>
      </c>
      <c r="J5" s="2" t="s">
        <v>6</v>
      </c>
      <c r="K5" s="3" t="s">
        <v>7</v>
      </c>
      <c r="L5" s="4" t="s">
        <v>8</v>
      </c>
      <c r="M5" s="1"/>
      <c r="N5" s="137"/>
      <c r="O5" s="140"/>
    </row>
    <row r="6" spans="1:15" ht="18.75" x14ac:dyDescent="0.25">
      <c r="A6" s="5"/>
      <c r="B6" s="152" t="s">
        <v>9</v>
      </c>
      <c r="C6" s="110" t="s">
        <v>25</v>
      </c>
      <c r="D6" s="60"/>
      <c r="E6" s="60"/>
      <c r="F6" s="61"/>
      <c r="G6" s="60"/>
      <c r="H6" s="60"/>
      <c r="I6" s="62"/>
      <c r="J6" s="60"/>
      <c r="K6" s="60"/>
      <c r="L6" s="63"/>
      <c r="M6" s="1"/>
      <c r="N6" s="5"/>
      <c r="O6" s="7"/>
    </row>
    <row r="7" spans="1:15" ht="19.5" customHeight="1" x14ac:dyDescent="0.25">
      <c r="A7" s="85"/>
      <c r="B7" s="153"/>
      <c r="C7" s="107" t="s">
        <v>44</v>
      </c>
      <c r="D7" s="60"/>
      <c r="E7" s="60"/>
      <c r="F7" s="61"/>
      <c r="G7" s="60">
        <v>1</v>
      </c>
      <c r="H7" s="60">
        <v>0.43</v>
      </c>
      <c r="I7" s="62">
        <f>G7/H7*100</f>
        <v>232.55813953488374</v>
      </c>
      <c r="J7" s="60"/>
      <c r="K7" s="60"/>
      <c r="L7" s="63"/>
      <c r="M7" s="1"/>
      <c r="N7" s="85"/>
      <c r="O7" s="7"/>
    </row>
    <row r="8" spans="1:15" ht="16.5" customHeight="1" x14ac:dyDescent="0.25">
      <c r="A8" s="85"/>
      <c r="B8" s="153"/>
      <c r="C8" s="10" t="s">
        <v>49</v>
      </c>
      <c r="D8" s="60">
        <v>4.9000000000000004</v>
      </c>
      <c r="E8" s="60">
        <v>4.83</v>
      </c>
      <c r="F8" s="61">
        <f>D8/E8*100</f>
        <v>101.44927536231884</v>
      </c>
      <c r="G8" s="60"/>
      <c r="H8" s="60"/>
      <c r="I8" s="62"/>
      <c r="J8" s="60"/>
      <c r="K8" s="60"/>
      <c r="L8" s="63"/>
      <c r="M8" s="1"/>
      <c r="N8" s="85"/>
      <c r="O8" s="7"/>
    </row>
    <row r="9" spans="1:15" ht="16.5" customHeight="1" x14ac:dyDescent="0.25">
      <c r="A9" s="85"/>
      <c r="B9" s="153"/>
      <c r="C9" s="93" t="s">
        <v>57</v>
      </c>
      <c r="D9" s="60">
        <v>20.96</v>
      </c>
      <c r="E9" s="60">
        <v>20.96</v>
      </c>
      <c r="F9" s="61">
        <f t="shared" ref="F9:F14" si="0">D9/E9*100</f>
        <v>100</v>
      </c>
      <c r="G9" s="60"/>
      <c r="H9" s="60"/>
      <c r="I9" s="62"/>
      <c r="J9" s="60"/>
      <c r="K9" s="60"/>
      <c r="L9" s="63"/>
      <c r="M9" s="1"/>
      <c r="N9" s="85"/>
      <c r="O9" s="7"/>
    </row>
    <row r="10" spans="1:15" ht="16.5" customHeight="1" x14ac:dyDescent="0.25">
      <c r="A10" s="85"/>
      <c r="B10" s="153"/>
      <c r="C10" s="112" t="s">
        <v>27</v>
      </c>
      <c r="D10" s="60">
        <v>0.25</v>
      </c>
      <c r="E10" s="60">
        <v>0.2</v>
      </c>
      <c r="F10" s="61">
        <f t="shared" si="0"/>
        <v>125</v>
      </c>
      <c r="G10" s="60"/>
      <c r="H10" s="60"/>
      <c r="I10" s="62"/>
      <c r="J10" s="60"/>
      <c r="K10" s="60"/>
      <c r="L10" s="63"/>
      <c r="M10" s="1"/>
      <c r="N10" s="85"/>
      <c r="O10" s="7"/>
    </row>
    <row r="11" spans="1:15" ht="16.5" customHeight="1" x14ac:dyDescent="0.25">
      <c r="A11" s="85"/>
      <c r="B11" s="153"/>
      <c r="C11" s="88" t="s">
        <v>51</v>
      </c>
      <c r="D11" s="60">
        <v>0.5</v>
      </c>
      <c r="E11" s="60">
        <v>0.32</v>
      </c>
      <c r="F11" s="61">
        <f t="shared" si="0"/>
        <v>156.25</v>
      </c>
      <c r="G11" s="60"/>
      <c r="H11" s="60"/>
      <c r="I11" s="62"/>
      <c r="J11" s="60"/>
      <c r="K11" s="60"/>
      <c r="L11" s="63"/>
      <c r="M11" s="1"/>
      <c r="N11" s="85"/>
      <c r="O11" s="7"/>
    </row>
    <row r="12" spans="1:15" ht="16.5" customHeight="1" x14ac:dyDescent="0.25">
      <c r="A12" s="85"/>
      <c r="B12" s="153"/>
      <c r="C12" s="88" t="s">
        <v>52</v>
      </c>
      <c r="D12" s="60">
        <v>2.25</v>
      </c>
      <c r="E12" s="60">
        <v>2.13</v>
      </c>
      <c r="F12" s="61">
        <f t="shared" si="0"/>
        <v>105.63380281690142</v>
      </c>
      <c r="G12" s="60"/>
      <c r="H12" s="60"/>
      <c r="I12" s="62"/>
      <c r="J12" s="60"/>
      <c r="K12" s="60"/>
      <c r="L12" s="63"/>
      <c r="M12" s="1"/>
      <c r="N12" s="85"/>
      <c r="O12" s="7"/>
    </row>
    <row r="13" spans="1:15" ht="16.5" customHeight="1" x14ac:dyDescent="0.25">
      <c r="A13" s="85"/>
      <c r="B13" s="153"/>
      <c r="C13" s="88" t="s">
        <v>28</v>
      </c>
      <c r="D13" s="60">
        <v>1</v>
      </c>
      <c r="E13" s="60">
        <v>0.92</v>
      </c>
      <c r="F13" s="61">
        <f t="shared" si="0"/>
        <v>108.69565217391303</v>
      </c>
      <c r="G13" s="60"/>
      <c r="H13" s="60"/>
      <c r="I13" s="62"/>
      <c r="J13" s="60"/>
      <c r="K13" s="60"/>
      <c r="L13" s="63"/>
      <c r="M13" s="1"/>
      <c r="N13" s="85"/>
      <c r="O13" s="7"/>
    </row>
    <row r="14" spans="1:15" ht="16.5" customHeight="1" x14ac:dyDescent="0.25">
      <c r="A14" s="85"/>
      <c r="B14" s="153"/>
      <c r="C14" s="93" t="s">
        <v>30</v>
      </c>
      <c r="D14" s="60">
        <v>5.5</v>
      </c>
      <c r="E14" s="60">
        <v>3.63</v>
      </c>
      <c r="F14" s="61">
        <f t="shared" si="0"/>
        <v>151.5151515151515</v>
      </c>
      <c r="G14" s="60"/>
      <c r="H14" s="60"/>
      <c r="I14" s="62"/>
      <c r="J14" s="60"/>
      <c r="K14" s="60"/>
      <c r="L14" s="63"/>
      <c r="M14" s="1"/>
      <c r="N14" s="85"/>
      <c r="O14" s="7"/>
    </row>
    <row r="15" spans="1:15" ht="15.75" x14ac:dyDescent="0.25">
      <c r="A15" s="85"/>
      <c r="B15" s="153"/>
      <c r="C15" s="111"/>
      <c r="D15" s="60"/>
      <c r="E15" s="60"/>
      <c r="F15" s="61"/>
      <c r="G15" s="60"/>
      <c r="H15" s="60"/>
      <c r="I15" s="62"/>
      <c r="J15" s="60"/>
      <c r="K15" s="60"/>
      <c r="L15" s="63"/>
      <c r="M15" s="1"/>
      <c r="N15" s="85"/>
      <c r="O15" s="7"/>
    </row>
    <row r="16" spans="1:15" ht="15.75" customHeight="1" x14ac:dyDescent="0.25">
      <c r="A16" s="57">
        <v>1</v>
      </c>
      <c r="B16" s="153"/>
      <c r="C16" s="87"/>
      <c r="D16" s="11"/>
      <c r="E16" s="64"/>
      <c r="F16" s="61"/>
      <c r="G16" s="64"/>
      <c r="H16" s="64"/>
      <c r="I16" s="66"/>
      <c r="J16" s="64"/>
      <c r="K16" s="64"/>
      <c r="L16" s="67"/>
      <c r="M16" s="1"/>
      <c r="N16" s="57"/>
      <c r="O16" s="10"/>
    </row>
    <row r="17" spans="1:15" ht="15.75" x14ac:dyDescent="0.25">
      <c r="A17" s="18"/>
      <c r="B17" s="68"/>
      <c r="C17" s="20" t="s">
        <v>10</v>
      </c>
      <c r="D17" s="21"/>
      <c r="E17" s="21"/>
      <c r="F17" s="61"/>
      <c r="G17" s="69"/>
      <c r="H17" s="69"/>
      <c r="I17" s="70"/>
      <c r="J17" s="69"/>
      <c r="K17" s="69"/>
      <c r="L17" s="71"/>
      <c r="M17" s="25"/>
      <c r="N17" s="18"/>
      <c r="O17" s="26"/>
    </row>
    <row r="18" spans="1:15" ht="17.25" customHeight="1" x14ac:dyDescent="0.25">
      <c r="A18" s="130">
        <v>4</v>
      </c>
      <c r="B18" s="150" t="s">
        <v>11</v>
      </c>
      <c r="C18" s="120" t="s">
        <v>40</v>
      </c>
      <c r="D18" s="64"/>
      <c r="E18" s="64"/>
      <c r="F18" s="61"/>
      <c r="G18" s="64">
        <v>24</v>
      </c>
      <c r="H18" s="64">
        <v>25.6</v>
      </c>
      <c r="I18" s="65">
        <f>G18/H18</f>
        <v>0.9375</v>
      </c>
      <c r="J18" s="64"/>
      <c r="K18" s="64"/>
      <c r="L18" s="67"/>
      <c r="M18" s="1"/>
      <c r="N18" s="130"/>
      <c r="O18" s="27"/>
    </row>
    <row r="19" spans="1:15" ht="19.5" customHeight="1" x14ac:dyDescent="0.25">
      <c r="A19" s="131"/>
      <c r="B19" s="151"/>
      <c r="C19" s="107" t="s">
        <v>23</v>
      </c>
      <c r="D19" s="64"/>
      <c r="E19" s="64"/>
      <c r="F19" s="61"/>
      <c r="G19" s="64">
        <v>19</v>
      </c>
      <c r="H19" s="64">
        <v>19.36</v>
      </c>
      <c r="I19" s="65">
        <f t="shared" ref="I19:I29" si="1">G19/H19</f>
        <v>0.98140495867768596</v>
      </c>
      <c r="J19" s="64"/>
      <c r="K19" s="64"/>
      <c r="L19" s="67"/>
      <c r="M19" s="1"/>
      <c r="N19" s="131"/>
      <c r="O19" s="27"/>
    </row>
    <row r="20" spans="1:15" ht="17.25" customHeight="1" x14ac:dyDescent="0.25">
      <c r="A20" s="131"/>
      <c r="B20" s="151"/>
      <c r="C20" s="107" t="s">
        <v>24</v>
      </c>
      <c r="D20" s="64"/>
      <c r="E20" s="64"/>
      <c r="F20" s="61"/>
      <c r="G20" s="64">
        <v>20.440000000000001</v>
      </c>
      <c r="H20" s="64">
        <v>18.5</v>
      </c>
      <c r="I20" s="65">
        <f t="shared" si="1"/>
        <v>1.1048648648648649</v>
      </c>
      <c r="J20" s="64"/>
      <c r="K20" s="64"/>
      <c r="L20" s="67"/>
      <c r="M20" s="1"/>
      <c r="N20" s="131"/>
      <c r="O20" s="27"/>
    </row>
    <row r="21" spans="1:15" ht="15.75" x14ac:dyDescent="0.25">
      <c r="A21" s="131"/>
      <c r="B21" s="151"/>
      <c r="C21" s="107" t="s">
        <v>32</v>
      </c>
      <c r="D21" s="64"/>
      <c r="E21" s="64"/>
      <c r="F21" s="61"/>
      <c r="G21" s="64">
        <v>94</v>
      </c>
      <c r="H21" s="64">
        <v>112.94</v>
      </c>
      <c r="I21" s="65">
        <f t="shared" si="1"/>
        <v>0.83230033646183821</v>
      </c>
      <c r="J21" s="64"/>
      <c r="K21" s="64"/>
      <c r="L21" s="67"/>
      <c r="M21" s="1"/>
      <c r="N21" s="131"/>
      <c r="O21" s="27"/>
    </row>
    <row r="22" spans="1:15" ht="17.25" customHeight="1" x14ac:dyDescent="0.25">
      <c r="A22" s="131"/>
      <c r="B22" s="151"/>
      <c r="C22" s="107" t="s">
        <v>41</v>
      </c>
      <c r="D22" s="64"/>
      <c r="E22" s="64"/>
      <c r="F22" s="61"/>
      <c r="G22" s="64">
        <v>1</v>
      </c>
      <c r="H22" s="64">
        <v>0.56999999999999995</v>
      </c>
      <c r="I22" s="65">
        <f t="shared" si="1"/>
        <v>1.7543859649122808</v>
      </c>
      <c r="J22" s="64"/>
      <c r="K22" s="64"/>
      <c r="L22" s="72"/>
      <c r="M22" s="1"/>
      <c r="N22" s="131"/>
      <c r="O22" s="27"/>
    </row>
    <row r="23" spans="1:15" ht="18" customHeight="1" x14ac:dyDescent="0.25">
      <c r="A23" s="131"/>
      <c r="B23" s="151"/>
      <c r="C23" s="107" t="s">
        <v>42</v>
      </c>
      <c r="D23" s="64"/>
      <c r="E23" s="64"/>
      <c r="F23" s="61"/>
      <c r="G23" s="64">
        <v>2</v>
      </c>
      <c r="H23" s="64">
        <v>1.6</v>
      </c>
      <c r="I23" s="65">
        <f t="shared" si="1"/>
        <v>1.25</v>
      </c>
      <c r="J23" s="64"/>
      <c r="K23" s="64"/>
      <c r="L23" s="67"/>
      <c r="M23" s="1"/>
      <c r="N23" s="131"/>
      <c r="O23" s="28"/>
    </row>
    <row r="24" spans="1:15" ht="15.75" x14ac:dyDescent="0.25">
      <c r="A24" s="131"/>
      <c r="B24" s="151"/>
      <c r="C24" s="107" t="s">
        <v>33</v>
      </c>
      <c r="D24" s="64"/>
      <c r="E24" s="64"/>
      <c r="F24" s="61"/>
      <c r="G24" s="64">
        <v>31</v>
      </c>
      <c r="H24" s="64">
        <v>21.33</v>
      </c>
      <c r="I24" s="65">
        <f t="shared" si="1"/>
        <v>1.4533520862634788</v>
      </c>
      <c r="J24" s="64"/>
      <c r="K24" s="64"/>
      <c r="L24" s="67"/>
      <c r="M24" s="1"/>
      <c r="N24" s="131"/>
      <c r="O24" s="29"/>
    </row>
    <row r="25" spans="1:15" ht="15.75" x14ac:dyDescent="0.25">
      <c r="A25" s="131"/>
      <c r="B25" s="151"/>
      <c r="C25" s="121" t="s">
        <v>34</v>
      </c>
      <c r="D25" s="64"/>
      <c r="E25" s="64"/>
      <c r="F25" s="61"/>
      <c r="G25" s="64">
        <v>64.73</v>
      </c>
      <c r="H25" s="122">
        <v>51</v>
      </c>
      <c r="I25" s="65">
        <f t="shared" si="1"/>
        <v>1.2692156862745099</v>
      </c>
      <c r="J25" s="64"/>
      <c r="K25" s="64"/>
      <c r="L25" s="67"/>
      <c r="M25" s="1"/>
      <c r="N25" s="131"/>
      <c r="O25" s="29"/>
    </row>
    <row r="26" spans="1:15" ht="15.75" x14ac:dyDescent="0.25">
      <c r="A26" s="131"/>
      <c r="B26" s="151"/>
      <c r="C26" s="121" t="s">
        <v>35</v>
      </c>
      <c r="D26" s="64"/>
      <c r="E26" s="64"/>
      <c r="F26" s="61"/>
      <c r="G26" s="64">
        <v>97.67</v>
      </c>
      <c r="H26" s="123">
        <v>81</v>
      </c>
      <c r="I26" s="65">
        <f t="shared" si="1"/>
        <v>1.2058024691358025</v>
      </c>
      <c r="J26" s="64"/>
      <c r="K26" s="64"/>
      <c r="L26" s="67"/>
      <c r="M26" s="1"/>
      <c r="N26" s="131"/>
      <c r="O26" s="30"/>
    </row>
    <row r="27" spans="1:15" ht="15.75" x14ac:dyDescent="0.25">
      <c r="A27" s="131"/>
      <c r="B27" s="151"/>
      <c r="C27" s="118" t="s">
        <v>36</v>
      </c>
      <c r="D27" s="64"/>
      <c r="E27" s="64"/>
      <c r="F27" s="61"/>
      <c r="G27" s="64">
        <v>0.5</v>
      </c>
      <c r="H27" s="64">
        <v>0.4</v>
      </c>
      <c r="I27" s="65">
        <f t="shared" si="1"/>
        <v>1.25</v>
      </c>
      <c r="J27" s="64"/>
      <c r="K27" s="64"/>
      <c r="L27" s="72"/>
      <c r="M27" s="1"/>
      <c r="N27" s="131"/>
      <c r="O27" s="29"/>
    </row>
    <row r="28" spans="1:15" ht="15.75" x14ac:dyDescent="0.25">
      <c r="A28" s="131"/>
      <c r="B28" s="151"/>
      <c r="C28" s="118" t="s">
        <v>43</v>
      </c>
      <c r="D28" s="64"/>
      <c r="E28" s="64"/>
      <c r="F28" s="61"/>
      <c r="G28" s="64">
        <v>17</v>
      </c>
      <c r="H28" s="64"/>
      <c r="I28" s="65"/>
      <c r="J28" s="64"/>
      <c r="K28" s="64"/>
      <c r="L28" s="67"/>
      <c r="M28" s="1"/>
      <c r="N28" s="131"/>
      <c r="O28" s="29"/>
    </row>
    <row r="29" spans="1:15" ht="15.75" x14ac:dyDescent="0.25">
      <c r="A29" s="131"/>
      <c r="B29" s="151"/>
      <c r="C29" s="107" t="s">
        <v>44</v>
      </c>
      <c r="D29" s="64"/>
      <c r="E29" s="64"/>
      <c r="F29" s="61"/>
      <c r="G29" s="64">
        <v>7.68</v>
      </c>
      <c r="H29" s="64">
        <v>7.68</v>
      </c>
      <c r="I29" s="65">
        <f t="shared" si="1"/>
        <v>1</v>
      </c>
      <c r="J29" s="64"/>
      <c r="K29" s="64"/>
      <c r="L29" s="67"/>
      <c r="M29" s="1"/>
      <c r="N29" s="131"/>
      <c r="O29" s="29"/>
    </row>
    <row r="30" spans="1:15" ht="17.25" customHeight="1" x14ac:dyDescent="0.25">
      <c r="A30" s="131"/>
      <c r="B30" s="151"/>
      <c r="C30" s="52" t="s">
        <v>17</v>
      </c>
      <c r="D30" s="64">
        <v>51</v>
      </c>
      <c r="E30" s="64">
        <v>15</v>
      </c>
      <c r="F30" s="61">
        <f>D30/E30*100</f>
        <v>340</v>
      </c>
      <c r="G30" s="64"/>
      <c r="H30" s="64"/>
      <c r="I30" s="65"/>
      <c r="J30" s="64"/>
      <c r="K30" s="64"/>
      <c r="L30" s="67"/>
      <c r="M30" s="1"/>
      <c r="N30" s="131"/>
      <c r="O30" s="31"/>
    </row>
    <row r="31" spans="1:15" ht="17.25" customHeight="1" x14ac:dyDescent="0.25">
      <c r="A31" s="131"/>
      <c r="B31" s="151"/>
      <c r="C31" s="16" t="s">
        <v>59</v>
      </c>
      <c r="D31" s="64">
        <v>2.79</v>
      </c>
      <c r="E31" s="64">
        <v>8.8699999999999992</v>
      </c>
      <c r="F31" s="61">
        <f t="shared" ref="F31:F54" si="2">D31/E31*100</f>
        <v>31.454340473506203</v>
      </c>
      <c r="G31" s="64"/>
      <c r="H31" s="64"/>
      <c r="I31" s="65"/>
      <c r="J31" s="64"/>
      <c r="K31" s="64"/>
      <c r="L31" s="67"/>
      <c r="M31" s="1"/>
      <c r="N31" s="131"/>
      <c r="O31" s="31"/>
    </row>
    <row r="32" spans="1:15" ht="18.75" customHeight="1" x14ac:dyDescent="0.25">
      <c r="A32" s="131"/>
      <c r="B32" s="151"/>
      <c r="C32" s="16" t="s">
        <v>46</v>
      </c>
      <c r="D32" s="64">
        <v>0.93</v>
      </c>
      <c r="E32" s="64">
        <v>1.66</v>
      </c>
      <c r="F32" s="61">
        <f t="shared" si="2"/>
        <v>56.02409638554218</v>
      </c>
      <c r="G32" s="64"/>
      <c r="H32" s="64"/>
      <c r="I32" s="65"/>
      <c r="J32" s="64"/>
      <c r="K32" s="64"/>
      <c r="L32" s="67"/>
      <c r="M32" s="1"/>
      <c r="N32" s="131"/>
      <c r="O32" s="31"/>
    </row>
    <row r="33" spans="1:15" ht="18.75" customHeight="1" x14ac:dyDescent="0.25">
      <c r="A33" s="124"/>
      <c r="B33" s="86"/>
      <c r="C33" s="53" t="s">
        <v>47</v>
      </c>
      <c r="D33" s="64">
        <v>0.25</v>
      </c>
      <c r="E33" s="64">
        <v>0.19</v>
      </c>
      <c r="F33" s="61">
        <f t="shared" si="2"/>
        <v>131.57894736842107</v>
      </c>
      <c r="G33" s="64"/>
      <c r="H33" s="64"/>
      <c r="I33" s="65"/>
      <c r="J33" s="64"/>
      <c r="K33" s="64"/>
      <c r="L33" s="67"/>
      <c r="M33" s="1"/>
      <c r="N33" s="124"/>
      <c r="O33" s="31"/>
    </row>
    <row r="34" spans="1:15" ht="18.75" customHeight="1" x14ac:dyDescent="0.25">
      <c r="A34" s="124"/>
      <c r="B34" s="86"/>
      <c r="C34" s="88" t="s">
        <v>48</v>
      </c>
      <c r="D34" s="64">
        <v>1</v>
      </c>
      <c r="E34" s="64">
        <v>0.4</v>
      </c>
      <c r="F34" s="61">
        <f t="shared" si="2"/>
        <v>250</v>
      </c>
      <c r="G34" s="64"/>
      <c r="H34" s="64"/>
      <c r="I34" s="65"/>
      <c r="J34" s="64"/>
      <c r="K34" s="64"/>
      <c r="L34" s="67"/>
      <c r="M34" s="1"/>
      <c r="N34" s="124"/>
      <c r="O34" s="31"/>
    </row>
    <row r="35" spans="1:15" ht="18.75" customHeight="1" x14ac:dyDescent="0.25">
      <c r="A35" s="124"/>
      <c r="B35" s="86"/>
      <c r="C35" s="32" t="s">
        <v>12</v>
      </c>
      <c r="D35" s="64">
        <v>10</v>
      </c>
      <c r="E35" s="64">
        <v>10</v>
      </c>
      <c r="F35" s="61">
        <f t="shared" si="2"/>
        <v>100</v>
      </c>
      <c r="G35" s="64"/>
      <c r="H35" s="64"/>
      <c r="I35" s="65"/>
      <c r="J35" s="64"/>
      <c r="K35" s="64"/>
      <c r="L35" s="67"/>
      <c r="M35" s="1"/>
      <c r="N35" s="124"/>
      <c r="O35" s="31"/>
    </row>
    <row r="36" spans="1:15" ht="18.75" customHeight="1" x14ac:dyDescent="0.25">
      <c r="A36" s="124"/>
      <c r="B36" s="86"/>
      <c r="C36" s="10" t="s">
        <v>49</v>
      </c>
      <c r="D36" s="64">
        <v>9.5</v>
      </c>
      <c r="E36" s="64">
        <v>14.5</v>
      </c>
      <c r="F36" s="61">
        <f t="shared" si="2"/>
        <v>65.517241379310349</v>
      </c>
      <c r="G36" s="64"/>
      <c r="H36" s="64"/>
      <c r="I36" s="65"/>
      <c r="J36" s="64"/>
      <c r="K36" s="64"/>
      <c r="L36" s="67"/>
      <c r="M36" s="1"/>
      <c r="N36" s="124"/>
      <c r="O36" s="31"/>
    </row>
    <row r="37" spans="1:15" ht="18.75" customHeight="1" x14ac:dyDescent="0.25">
      <c r="A37" s="124"/>
      <c r="B37" s="86"/>
      <c r="C37" s="89" t="s">
        <v>50</v>
      </c>
      <c r="D37" s="64">
        <v>24</v>
      </c>
      <c r="E37" s="64">
        <v>11.8</v>
      </c>
      <c r="F37" s="61">
        <f t="shared" si="2"/>
        <v>203.38983050847457</v>
      </c>
      <c r="G37" s="64"/>
      <c r="H37" s="64"/>
      <c r="I37" s="65"/>
      <c r="J37" s="64"/>
      <c r="K37" s="64"/>
      <c r="L37" s="67"/>
      <c r="M37" s="1"/>
      <c r="N37" s="124"/>
      <c r="O37" s="31"/>
    </row>
    <row r="38" spans="1:15" ht="18.75" customHeight="1" x14ac:dyDescent="0.25">
      <c r="A38" s="124"/>
      <c r="B38" s="86"/>
      <c r="C38" s="112" t="s">
        <v>26</v>
      </c>
      <c r="D38" s="64">
        <v>4</v>
      </c>
      <c r="E38" s="64">
        <v>2.69</v>
      </c>
      <c r="F38" s="61">
        <f t="shared" si="2"/>
        <v>148.69888475836433</v>
      </c>
      <c r="G38" s="64"/>
      <c r="H38" s="64"/>
      <c r="I38" s="65"/>
      <c r="J38" s="64"/>
      <c r="K38" s="64"/>
      <c r="L38" s="67"/>
      <c r="M38" s="1"/>
      <c r="N38" s="124"/>
      <c r="O38" s="31"/>
    </row>
    <row r="39" spans="1:15" ht="18.75" customHeight="1" x14ac:dyDescent="0.25">
      <c r="A39" s="124"/>
      <c r="B39" s="86"/>
      <c r="C39" s="112" t="s">
        <v>27</v>
      </c>
      <c r="D39" s="64">
        <v>0.5</v>
      </c>
      <c r="E39" s="64">
        <v>2.44</v>
      </c>
      <c r="F39" s="61">
        <f t="shared" si="2"/>
        <v>20.491803278688526</v>
      </c>
      <c r="G39" s="64"/>
      <c r="H39" s="64"/>
      <c r="I39" s="65"/>
      <c r="J39" s="64"/>
      <c r="K39" s="64"/>
      <c r="L39" s="67"/>
      <c r="M39" s="1"/>
      <c r="N39" s="124"/>
      <c r="O39" s="31"/>
    </row>
    <row r="40" spans="1:15" ht="18.75" customHeight="1" x14ac:dyDescent="0.25">
      <c r="A40" s="124"/>
      <c r="B40" s="86"/>
      <c r="C40" s="88" t="s">
        <v>51</v>
      </c>
      <c r="D40" s="64">
        <v>1</v>
      </c>
      <c r="E40" s="64">
        <v>0.64</v>
      </c>
      <c r="F40" s="61">
        <f t="shared" si="2"/>
        <v>156.25</v>
      </c>
      <c r="G40" s="64"/>
      <c r="H40" s="64"/>
      <c r="I40" s="65"/>
      <c r="J40" s="64"/>
      <c r="K40" s="64"/>
      <c r="L40" s="67"/>
      <c r="M40" s="1"/>
      <c r="N40" s="124"/>
      <c r="O40" s="31"/>
    </row>
    <row r="41" spans="1:15" ht="18.75" customHeight="1" x14ac:dyDescent="0.25">
      <c r="A41" s="124"/>
      <c r="B41" s="86"/>
      <c r="C41" s="88" t="s">
        <v>52</v>
      </c>
      <c r="D41" s="64">
        <v>7</v>
      </c>
      <c r="E41" s="64">
        <v>4.26</v>
      </c>
      <c r="F41" s="61">
        <f t="shared" si="2"/>
        <v>164.3192488262911</v>
      </c>
      <c r="G41" s="64"/>
      <c r="H41" s="64"/>
      <c r="I41" s="65"/>
      <c r="J41" s="64"/>
      <c r="K41" s="64"/>
      <c r="L41" s="67"/>
      <c r="M41" s="1"/>
      <c r="N41" s="124"/>
      <c r="O41" s="31"/>
    </row>
    <row r="42" spans="1:15" ht="18.75" customHeight="1" x14ac:dyDescent="0.25">
      <c r="A42" s="124"/>
      <c r="B42" s="86"/>
      <c r="C42" s="88" t="s">
        <v>28</v>
      </c>
      <c r="D42" s="64">
        <v>2</v>
      </c>
      <c r="E42" s="64">
        <v>1.83</v>
      </c>
      <c r="F42" s="61">
        <f t="shared" si="2"/>
        <v>109.28961748633878</v>
      </c>
      <c r="G42" s="64"/>
      <c r="H42" s="64"/>
      <c r="I42" s="65"/>
      <c r="J42" s="64"/>
      <c r="K42" s="64"/>
      <c r="L42" s="67"/>
      <c r="M42" s="1"/>
      <c r="N42" s="124"/>
      <c r="O42" s="31"/>
    </row>
    <row r="43" spans="1:15" ht="18.75" customHeight="1" x14ac:dyDescent="0.25">
      <c r="A43" s="124"/>
      <c r="B43" s="86"/>
      <c r="C43" s="88" t="s">
        <v>53</v>
      </c>
      <c r="D43" s="64">
        <v>3</v>
      </c>
      <c r="E43" s="64">
        <v>3</v>
      </c>
      <c r="F43" s="61">
        <f t="shared" si="2"/>
        <v>100</v>
      </c>
      <c r="G43" s="64"/>
      <c r="H43" s="64"/>
      <c r="I43" s="65"/>
      <c r="J43" s="64"/>
      <c r="K43" s="64"/>
      <c r="L43" s="67"/>
      <c r="M43" s="1"/>
      <c r="N43" s="124"/>
      <c r="O43" s="31"/>
    </row>
    <row r="44" spans="1:15" ht="18.75" customHeight="1" x14ac:dyDescent="0.25">
      <c r="A44" s="39"/>
      <c r="B44" s="126" t="s">
        <v>45</v>
      </c>
      <c r="C44" s="16" t="s">
        <v>54</v>
      </c>
      <c r="D44" s="64">
        <v>8</v>
      </c>
      <c r="E44" s="64">
        <v>12.1</v>
      </c>
      <c r="F44" s="61">
        <f t="shared" si="2"/>
        <v>66.11570247933885</v>
      </c>
      <c r="G44" s="64"/>
      <c r="H44" s="64"/>
      <c r="I44" s="65"/>
      <c r="J44" s="64"/>
      <c r="K44" s="64"/>
      <c r="L44" s="67"/>
      <c r="M44" s="1"/>
      <c r="N44" s="39"/>
      <c r="O44" s="27"/>
    </row>
    <row r="45" spans="1:15" ht="18.75" customHeight="1" x14ac:dyDescent="0.25">
      <c r="A45" s="39"/>
      <c r="B45" s="126"/>
      <c r="C45" s="16" t="s">
        <v>29</v>
      </c>
      <c r="D45" s="64">
        <v>1.5</v>
      </c>
      <c r="E45" s="64">
        <v>1.5</v>
      </c>
      <c r="F45" s="61">
        <f t="shared" si="2"/>
        <v>100</v>
      </c>
      <c r="G45" s="64"/>
      <c r="H45" s="64"/>
      <c r="I45" s="65"/>
      <c r="J45" s="64"/>
      <c r="K45" s="64"/>
      <c r="L45" s="67"/>
      <c r="M45" s="1"/>
      <c r="N45" s="39"/>
      <c r="O45" s="27"/>
    </row>
    <row r="46" spans="1:15" ht="18.75" customHeight="1" x14ac:dyDescent="0.25">
      <c r="A46" s="39"/>
      <c r="B46" s="126"/>
      <c r="C46" s="91" t="s">
        <v>18</v>
      </c>
      <c r="D46" s="64">
        <v>8</v>
      </c>
      <c r="E46" s="64">
        <v>3.8</v>
      </c>
      <c r="F46" s="61">
        <f t="shared" si="2"/>
        <v>210.52631578947367</v>
      </c>
      <c r="G46" s="64"/>
      <c r="H46" s="64"/>
      <c r="I46" s="65"/>
      <c r="J46" s="64"/>
      <c r="K46" s="64"/>
      <c r="L46" s="67"/>
      <c r="M46" s="1"/>
      <c r="N46" s="39"/>
      <c r="O46" s="27"/>
    </row>
    <row r="47" spans="1:15" ht="18.75" customHeight="1" x14ac:dyDescent="0.25">
      <c r="A47" s="39"/>
      <c r="B47" s="126"/>
      <c r="C47" s="93" t="s">
        <v>19</v>
      </c>
      <c r="D47" s="64">
        <v>4.05</v>
      </c>
      <c r="E47" s="64">
        <v>21.6</v>
      </c>
      <c r="F47" s="61">
        <f t="shared" si="2"/>
        <v>18.749999999999996</v>
      </c>
      <c r="G47" s="64"/>
      <c r="H47" s="64"/>
      <c r="I47" s="65"/>
      <c r="J47" s="64"/>
      <c r="K47" s="64"/>
      <c r="L47" s="67"/>
      <c r="M47" s="1"/>
      <c r="N47" s="39"/>
      <c r="O47" s="27"/>
    </row>
    <row r="48" spans="1:15" ht="18.75" customHeight="1" x14ac:dyDescent="0.25">
      <c r="A48" s="39"/>
      <c r="B48" s="126"/>
      <c r="C48" s="93" t="s">
        <v>30</v>
      </c>
      <c r="D48" s="64">
        <v>5.4</v>
      </c>
      <c r="E48" s="64">
        <v>5.5</v>
      </c>
      <c r="F48" s="61">
        <f t="shared" si="2"/>
        <v>98.181818181818187</v>
      </c>
      <c r="G48" s="64"/>
      <c r="H48" s="64"/>
      <c r="I48" s="65"/>
      <c r="J48" s="64"/>
      <c r="K48" s="64"/>
      <c r="L48" s="67"/>
      <c r="M48" s="1"/>
      <c r="N48" s="39"/>
      <c r="O48" s="27"/>
    </row>
    <row r="49" spans="1:15" ht="18.75" customHeight="1" x14ac:dyDescent="0.25">
      <c r="A49" s="39"/>
      <c r="B49" s="126"/>
      <c r="C49" s="93" t="s">
        <v>55</v>
      </c>
      <c r="D49" s="64"/>
      <c r="E49" s="64"/>
      <c r="F49" s="61"/>
      <c r="G49" s="64"/>
      <c r="H49" s="64"/>
      <c r="I49" s="65"/>
      <c r="J49" s="64"/>
      <c r="K49" s="64"/>
      <c r="L49" s="67"/>
      <c r="M49" s="1"/>
      <c r="N49" s="39"/>
      <c r="O49" s="27"/>
    </row>
    <row r="50" spans="1:15" ht="18.75" customHeight="1" x14ac:dyDescent="0.25">
      <c r="A50" s="39"/>
      <c r="B50" s="126"/>
      <c r="C50" s="93" t="s">
        <v>56</v>
      </c>
      <c r="D50" s="64">
        <v>60</v>
      </c>
      <c r="E50" s="64">
        <v>64.3</v>
      </c>
      <c r="F50" s="61">
        <f t="shared" si="2"/>
        <v>93.312597200622079</v>
      </c>
      <c r="G50" s="64"/>
      <c r="H50" s="64"/>
      <c r="I50" s="65"/>
      <c r="J50" s="64"/>
      <c r="K50" s="64"/>
      <c r="L50" s="67"/>
      <c r="M50" s="1"/>
      <c r="N50" s="39"/>
      <c r="O50" s="27"/>
    </row>
    <row r="51" spans="1:15" ht="18.75" customHeight="1" x14ac:dyDescent="0.25">
      <c r="A51" s="39"/>
      <c r="B51" s="126"/>
      <c r="C51" s="56" t="s">
        <v>31</v>
      </c>
      <c r="D51" s="64">
        <v>1.5</v>
      </c>
      <c r="E51" s="64">
        <v>1.5</v>
      </c>
      <c r="F51" s="61">
        <f t="shared" si="2"/>
        <v>100</v>
      </c>
      <c r="G51" s="64"/>
      <c r="H51" s="64"/>
      <c r="I51" s="65"/>
      <c r="J51" s="64"/>
      <c r="K51" s="64"/>
      <c r="L51" s="67"/>
      <c r="M51" s="1"/>
      <c r="N51" s="39"/>
      <c r="O51" s="27"/>
    </row>
    <row r="52" spans="1:15" ht="18.75" customHeight="1" x14ac:dyDescent="0.25">
      <c r="A52" s="39"/>
      <c r="B52" s="126"/>
      <c r="C52" s="56" t="s">
        <v>20</v>
      </c>
      <c r="D52" s="64">
        <v>3</v>
      </c>
      <c r="E52" s="64">
        <v>3</v>
      </c>
      <c r="F52" s="61">
        <f t="shared" si="2"/>
        <v>100</v>
      </c>
      <c r="G52" s="64"/>
      <c r="H52" s="64"/>
      <c r="I52" s="65"/>
      <c r="J52" s="64"/>
      <c r="K52" s="64"/>
      <c r="L52" s="67"/>
      <c r="M52" s="1"/>
      <c r="N52" s="39"/>
      <c r="O52" s="27"/>
    </row>
    <row r="53" spans="1:15" ht="18.75" customHeight="1" x14ac:dyDescent="0.25">
      <c r="A53" s="39"/>
      <c r="B53" s="126"/>
      <c r="C53" s="56" t="s">
        <v>21</v>
      </c>
      <c r="D53" s="64">
        <v>54.5</v>
      </c>
      <c r="E53" s="64">
        <v>54.5</v>
      </c>
      <c r="F53" s="61">
        <f t="shared" si="2"/>
        <v>100</v>
      </c>
      <c r="G53" s="64"/>
      <c r="H53" s="64"/>
      <c r="I53" s="65"/>
      <c r="J53" s="64"/>
      <c r="K53" s="64"/>
      <c r="L53" s="67"/>
      <c r="M53" s="1"/>
      <c r="N53" s="39"/>
      <c r="O53" s="27"/>
    </row>
    <row r="54" spans="1:15" ht="18" customHeight="1" x14ac:dyDescent="0.25">
      <c r="A54" s="39"/>
      <c r="B54" s="126"/>
      <c r="C54" s="93" t="s">
        <v>58</v>
      </c>
      <c r="D54" s="64">
        <v>2</v>
      </c>
      <c r="E54" s="64">
        <v>0.68</v>
      </c>
      <c r="F54" s="61">
        <f t="shared" si="2"/>
        <v>294.11764705882348</v>
      </c>
      <c r="G54" s="64"/>
      <c r="H54" s="64"/>
      <c r="I54" s="65"/>
      <c r="J54" s="64"/>
      <c r="K54" s="64"/>
      <c r="L54" s="67"/>
      <c r="M54" s="1"/>
      <c r="N54" s="39"/>
      <c r="O54" s="27"/>
    </row>
    <row r="55" spans="1:15" s="117" customFormat="1" ht="15.75" x14ac:dyDescent="0.25">
      <c r="A55" s="115"/>
      <c r="B55" s="126"/>
      <c r="C55" s="56"/>
      <c r="D55" s="74"/>
      <c r="E55" s="74"/>
      <c r="F55" s="61"/>
      <c r="G55" s="74"/>
      <c r="H55" s="74"/>
      <c r="I55" s="76"/>
      <c r="J55" s="74"/>
      <c r="K55" s="74"/>
      <c r="L55" s="77"/>
      <c r="M55" s="116"/>
      <c r="N55" s="115"/>
      <c r="O55" s="33"/>
    </row>
    <row r="56" spans="1:15" ht="15.75" x14ac:dyDescent="0.25">
      <c r="A56" s="39"/>
      <c r="B56" s="126"/>
      <c r="C56" s="107" t="s">
        <v>41</v>
      </c>
      <c r="D56" s="64"/>
      <c r="E56" s="64"/>
      <c r="F56" s="61"/>
      <c r="G56" s="64">
        <v>0.5</v>
      </c>
      <c r="H56" s="64">
        <v>0.28000000000000003</v>
      </c>
      <c r="I56" s="65">
        <f>G56/H56</f>
        <v>1.7857142857142856</v>
      </c>
      <c r="J56" s="64"/>
      <c r="K56" s="64"/>
      <c r="L56" s="67"/>
      <c r="M56" s="1"/>
      <c r="N56" s="39"/>
      <c r="O56" s="27"/>
    </row>
    <row r="57" spans="1:15" ht="15.75" x14ac:dyDescent="0.25">
      <c r="A57" s="39"/>
      <c r="B57" s="126"/>
      <c r="C57" s="93"/>
      <c r="D57" s="64"/>
      <c r="E57" s="64"/>
      <c r="F57" s="90"/>
      <c r="G57" s="64"/>
      <c r="H57" s="64"/>
      <c r="I57" s="65"/>
      <c r="J57" s="64"/>
      <c r="K57" s="64"/>
      <c r="L57" s="67"/>
      <c r="M57" s="1"/>
      <c r="N57" s="39"/>
      <c r="O57" s="27"/>
    </row>
    <row r="58" spans="1:15" ht="15.75" x14ac:dyDescent="0.25">
      <c r="A58" s="39"/>
      <c r="B58" s="126"/>
      <c r="C58" s="114"/>
      <c r="D58" s="64"/>
      <c r="E58" s="64"/>
      <c r="F58" s="90"/>
      <c r="G58" s="64"/>
      <c r="H58" s="64"/>
      <c r="I58" s="65"/>
      <c r="J58" s="64"/>
      <c r="K58" s="64"/>
      <c r="L58" s="67"/>
      <c r="M58" s="1"/>
      <c r="N58" s="39"/>
      <c r="O58" s="27"/>
    </row>
    <row r="59" spans="1:15" ht="15.75" x14ac:dyDescent="0.25">
      <c r="A59" s="39"/>
      <c r="B59" s="126"/>
      <c r="C59" s="56"/>
      <c r="D59" s="64"/>
      <c r="E59" s="64"/>
      <c r="F59" s="90"/>
      <c r="G59" s="64"/>
      <c r="H59" s="64"/>
      <c r="I59" s="65"/>
      <c r="J59" s="64"/>
      <c r="K59" s="64"/>
      <c r="L59" s="67"/>
      <c r="M59" s="1"/>
      <c r="N59" s="39"/>
      <c r="O59" s="27"/>
    </row>
    <row r="60" spans="1:15" ht="15.75" x14ac:dyDescent="0.25">
      <c r="A60" s="39"/>
      <c r="B60" s="126"/>
      <c r="C60" s="56"/>
      <c r="D60" s="64"/>
      <c r="E60" s="64"/>
      <c r="F60" s="90"/>
      <c r="G60" s="64"/>
      <c r="H60" s="64"/>
      <c r="I60" s="65"/>
      <c r="J60" s="64"/>
      <c r="K60" s="64"/>
      <c r="L60" s="67"/>
      <c r="M60" s="1"/>
      <c r="N60" s="39"/>
      <c r="O60" s="27"/>
    </row>
    <row r="61" spans="1:15" ht="15.75" x14ac:dyDescent="0.25">
      <c r="A61" s="39"/>
      <c r="B61" s="126"/>
      <c r="C61" s="56"/>
      <c r="D61" s="64"/>
      <c r="E61" s="64"/>
      <c r="F61" s="90"/>
      <c r="G61" s="64"/>
      <c r="H61" s="64"/>
      <c r="I61" s="65"/>
      <c r="J61" s="64"/>
      <c r="K61" s="64"/>
      <c r="L61" s="67"/>
      <c r="M61" s="1"/>
      <c r="N61" s="39"/>
      <c r="O61" s="27"/>
    </row>
    <row r="62" spans="1:15" ht="15.75" x14ac:dyDescent="0.25">
      <c r="A62" s="39"/>
      <c r="B62" s="126"/>
      <c r="C62" s="56"/>
      <c r="D62" s="64"/>
      <c r="E62" s="64"/>
      <c r="F62" s="90"/>
      <c r="G62" s="64"/>
      <c r="H62" s="64"/>
      <c r="I62" s="65"/>
      <c r="J62" s="64"/>
      <c r="K62" s="64"/>
      <c r="L62" s="67"/>
      <c r="M62" s="1"/>
      <c r="N62" s="39"/>
      <c r="O62" s="27"/>
    </row>
    <row r="63" spans="1:15" ht="15.75" x14ac:dyDescent="0.25">
      <c r="A63" s="39"/>
      <c r="B63" s="126"/>
      <c r="C63" s="56"/>
      <c r="D63" s="64"/>
      <c r="E63" s="64"/>
      <c r="F63" s="90"/>
      <c r="G63" s="64"/>
      <c r="H63" s="64"/>
      <c r="I63" s="65"/>
      <c r="J63" s="64"/>
      <c r="K63" s="64"/>
      <c r="L63" s="67"/>
      <c r="M63" s="1"/>
      <c r="N63" s="39"/>
      <c r="O63" s="27"/>
    </row>
    <row r="64" spans="1:15" ht="15.75" x14ac:dyDescent="0.25">
      <c r="A64" s="39"/>
      <c r="B64" s="126"/>
      <c r="C64" s="93"/>
      <c r="D64" s="64"/>
      <c r="E64" s="64"/>
      <c r="F64" s="90"/>
      <c r="G64" s="64"/>
      <c r="H64" s="64"/>
      <c r="I64" s="65"/>
      <c r="J64" s="64"/>
      <c r="K64" s="64"/>
      <c r="L64" s="67"/>
      <c r="M64" s="1"/>
      <c r="N64" s="39"/>
      <c r="O64" s="27"/>
    </row>
    <row r="65" spans="1:15" ht="15.75" x14ac:dyDescent="0.25">
      <c r="A65" s="39"/>
      <c r="B65" s="126"/>
      <c r="C65" s="10"/>
      <c r="D65" s="64"/>
      <c r="E65" s="64"/>
      <c r="F65" s="90"/>
      <c r="G65" s="64"/>
      <c r="H65" s="64"/>
      <c r="I65" s="65"/>
      <c r="J65" s="64"/>
      <c r="K65" s="64"/>
      <c r="L65" s="67"/>
      <c r="M65" s="1"/>
      <c r="N65" s="39"/>
      <c r="O65" s="27"/>
    </row>
    <row r="66" spans="1:15" ht="15.75" x14ac:dyDescent="0.25">
      <c r="A66" s="39"/>
      <c r="B66" s="126"/>
      <c r="C66" s="10"/>
      <c r="D66" s="64"/>
      <c r="E66" s="64"/>
      <c r="F66" s="90"/>
      <c r="G66" s="64"/>
      <c r="H66" s="64"/>
      <c r="I66" s="65"/>
      <c r="J66" s="64"/>
      <c r="K66" s="64"/>
      <c r="L66" s="67"/>
      <c r="M66" s="1"/>
      <c r="N66" s="39"/>
      <c r="O66" s="27"/>
    </row>
    <row r="67" spans="1:15" ht="15.75" x14ac:dyDescent="0.25">
      <c r="A67" s="39"/>
      <c r="B67" s="126"/>
      <c r="C67" s="10"/>
      <c r="D67" s="64"/>
      <c r="E67" s="64"/>
      <c r="F67" s="90"/>
      <c r="G67" s="64"/>
      <c r="H67" s="64"/>
      <c r="I67" s="65"/>
      <c r="J67" s="64"/>
      <c r="K67" s="64"/>
      <c r="L67" s="67"/>
      <c r="M67" s="1"/>
      <c r="N67" s="39"/>
      <c r="O67" s="27"/>
    </row>
    <row r="68" spans="1:15" ht="15.75" x14ac:dyDescent="0.25">
      <c r="A68" s="39"/>
      <c r="B68" s="126"/>
      <c r="C68" s="10"/>
      <c r="D68" s="64"/>
      <c r="E68" s="64"/>
      <c r="F68" s="90"/>
      <c r="G68" s="64"/>
      <c r="H68" s="64"/>
      <c r="I68" s="65"/>
      <c r="J68" s="64"/>
      <c r="K68" s="64"/>
      <c r="L68" s="67"/>
      <c r="M68" s="1"/>
      <c r="N68" s="39"/>
      <c r="O68" s="27"/>
    </row>
    <row r="69" spans="1:15" ht="15" customHeight="1" x14ac:dyDescent="0.25">
      <c r="A69" s="39"/>
      <c r="B69" s="126"/>
      <c r="C69" s="92"/>
      <c r="D69" s="64"/>
      <c r="E69" s="64"/>
      <c r="F69" s="90"/>
      <c r="G69" s="64"/>
      <c r="H69" s="64"/>
      <c r="I69" s="65"/>
      <c r="J69" s="64"/>
      <c r="K69" s="64"/>
      <c r="L69" s="67"/>
      <c r="M69" s="1"/>
      <c r="N69" s="39"/>
      <c r="O69" s="27"/>
    </row>
    <row r="70" spans="1:15" ht="15.75" x14ac:dyDescent="0.25">
      <c r="A70" s="41"/>
      <c r="B70" s="78"/>
      <c r="C70" s="113"/>
      <c r="D70" s="74"/>
      <c r="E70" s="74"/>
      <c r="F70" s="90"/>
      <c r="G70" s="74"/>
      <c r="H70" s="74"/>
      <c r="I70" s="76"/>
      <c r="J70" s="74"/>
      <c r="K70" s="74"/>
      <c r="L70" s="79"/>
      <c r="M70" s="25"/>
      <c r="N70" s="44"/>
      <c r="O70" s="38"/>
    </row>
    <row r="71" spans="1:15" ht="17.25" customHeight="1" x14ac:dyDescent="0.25">
      <c r="A71" s="40"/>
      <c r="B71" s="125" t="s">
        <v>22</v>
      </c>
      <c r="C71" s="120" t="s">
        <v>40</v>
      </c>
      <c r="D71" s="64"/>
      <c r="E71" s="64"/>
      <c r="F71" s="90"/>
      <c r="G71" s="64">
        <v>13</v>
      </c>
      <c r="H71" s="64">
        <v>12.6</v>
      </c>
      <c r="I71" s="64">
        <f>G71/H71*100</f>
        <v>103.17460317460319</v>
      </c>
      <c r="J71" s="64"/>
      <c r="K71" s="64"/>
      <c r="L71" s="67"/>
      <c r="M71" s="1"/>
      <c r="N71" s="40"/>
      <c r="O71" s="27"/>
    </row>
    <row r="72" spans="1:15" ht="15.75" customHeight="1" x14ac:dyDescent="0.25">
      <c r="A72" s="50"/>
      <c r="B72" s="126"/>
      <c r="C72" s="107" t="s">
        <v>42</v>
      </c>
      <c r="D72" s="80"/>
      <c r="E72" s="80"/>
      <c r="F72" s="90"/>
      <c r="G72" s="80">
        <v>1</v>
      </c>
      <c r="H72" s="80">
        <v>0.8</v>
      </c>
      <c r="I72" s="64">
        <f t="shared" ref="I72:I73" si="3">G72/H72*100</f>
        <v>125</v>
      </c>
      <c r="J72" s="80"/>
      <c r="K72" s="80"/>
      <c r="L72" s="81"/>
      <c r="M72" s="1"/>
      <c r="N72" s="50"/>
      <c r="O72" s="51"/>
    </row>
    <row r="73" spans="1:15" ht="14.25" customHeight="1" x14ac:dyDescent="0.25">
      <c r="A73" s="50"/>
      <c r="B73" s="126"/>
      <c r="C73" s="118" t="s">
        <v>36</v>
      </c>
      <c r="D73" s="80"/>
      <c r="E73" s="80"/>
      <c r="F73" s="90"/>
      <c r="G73" s="80">
        <v>0.5</v>
      </c>
      <c r="H73" s="80">
        <v>0.2</v>
      </c>
      <c r="I73" s="64">
        <f t="shared" si="3"/>
        <v>250</v>
      </c>
      <c r="J73" s="80"/>
      <c r="K73" s="80"/>
      <c r="L73" s="81"/>
      <c r="M73" s="1"/>
      <c r="N73" s="50"/>
      <c r="O73" s="51"/>
    </row>
    <row r="74" spans="1:15" ht="14.25" customHeight="1" x14ac:dyDescent="0.25">
      <c r="A74" s="50"/>
      <c r="B74" s="126"/>
      <c r="C74" s="89" t="s">
        <v>50</v>
      </c>
      <c r="D74" s="60">
        <v>11.8</v>
      </c>
      <c r="E74" s="60">
        <v>11.8</v>
      </c>
      <c r="F74" s="90">
        <f>D74/E74*100</f>
        <v>100</v>
      </c>
      <c r="G74" s="80"/>
      <c r="H74" s="80"/>
      <c r="I74" s="80"/>
      <c r="J74" s="80"/>
      <c r="K74" s="80"/>
      <c r="L74" s="81"/>
      <c r="M74" s="1"/>
      <c r="N74" s="50"/>
      <c r="O74" s="51"/>
    </row>
    <row r="75" spans="1:15" ht="14.25" customHeight="1" x14ac:dyDescent="0.25">
      <c r="A75" s="50"/>
      <c r="B75" s="126"/>
      <c r="C75" s="16" t="s">
        <v>54</v>
      </c>
      <c r="D75" s="60">
        <v>12.1</v>
      </c>
      <c r="E75" s="60">
        <v>12.1</v>
      </c>
      <c r="F75" s="90">
        <f t="shared" ref="F75:F78" si="4">D75/E75*100</f>
        <v>100</v>
      </c>
      <c r="G75" s="80"/>
      <c r="H75" s="80"/>
      <c r="I75" s="80"/>
      <c r="J75" s="80"/>
      <c r="K75" s="80"/>
      <c r="L75" s="81"/>
      <c r="M75" s="1"/>
      <c r="N75" s="50"/>
      <c r="O75" s="51"/>
    </row>
    <row r="76" spans="1:15" ht="14.25" customHeight="1" x14ac:dyDescent="0.25">
      <c r="A76" s="50"/>
      <c r="B76" s="126"/>
      <c r="C76" s="56" t="s">
        <v>31</v>
      </c>
      <c r="D76" s="80">
        <v>1.25</v>
      </c>
      <c r="E76" s="80">
        <v>1.25</v>
      </c>
      <c r="F76" s="90">
        <f t="shared" si="4"/>
        <v>100</v>
      </c>
      <c r="G76" s="80"/>
      <c r="H76" s="80"/>
      <c r="I76" s="80"/>
      <c r="J76" s="80"/>
      <c r="K76" s="80"/>
      <c r="L76" s="81"/>
      <c r="M76" s="1"/>
      <c r="N76" s="50"/>
      <c r="O76" s="51"/>
    </row>
    <row r="77" spans="1:15" ht="15.75" x14ac:dyDescent="0.25">
      <c r="A77" s="50"/>
      <c r="B77" s="126"/>
      <c r="C77" s="56" t="s">
        <v>20</v>
      </c>
      <c r="D77" s="95">
        <v>1.75</v>
      </c>
      <c r="E77" s="80">
        <v>1.75</v>
      </c>
      <c r="F77" s="90">
        <f t="shared" si="4"/>
        <v>100</v>
      </c>
      <c r="G77" s="80"/>
      <c r="H77" s="80"/>
      <c r="I77" s="80"/>
      <c r="J77" s="80"/>
      <c r="K77" s="80"/>
      <c r="L77" s="81"/>
      <c r="M77" s="1"/>
      <c r="N77" s="50"/>
      <c r="O77" s="51"/>
    </row>
    <row r="78" spans="1:15" ht="31.5" x14ac:dyDescent="0.25">
      <c r="A78" s="50"/>
      <c r="B78" s="127"/>
      <c r="C78" s="93" t="s">
        <v>58</v>
      </c>
      <c r="D78" s="80">
        <v>0.34</v>
      </c>
      <c r="E78" s="80">
        <v>1</v>
      </c>
      <c r="F78" s="90">
        <f t="shared" si="4"/>
        <v>34</v>
      </c>
      <c r="G78" s="80"/>
      <c r="H78" s="80"/>
      <c r="I78" s="80"/>
      <c r="J78" s="80"/>
      <c r="K78" s="80"/>
      <c r="L78" s="81"/>
      <c r="M78" s="1"/>
      <c r="N78" s="50"/>
      <c r="O78" s="51"/>
    </row>
    <row r="79" spans="1:15" ht="15.75" x14ac:dyDescent="0.25">
      <c r="A79" s="45"/>
      <c r="B79" s="82"/>
      <c r="C79" s="73" t="s">
        <v>10</v>
      </c>
      <c r="D79" s="83"/>
      <c r="E79" s="83"/>
      <c r="F79" s="75"/>
      <c r="G79" s="83"/>
      <c r="H79" s="83"/>
      <c r="I79" s="83"/>
      <c r="J79" s="83"/>
      <c r="K79" s="83"/>
      <c r="L79" s="84"/>
      <c r="M79" s="25"/>
      <c r="N79" s="45"/>
      <c r="O79" s="49"/>
    </row>
    <row r="80" spans="1:15" x14ac:dyDescent="0.25">
      <c r="A80" s="1"/>
      <c r="B80" s="1"/>
      <c r="C80" s="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2" spans="1:12" ht="18.75" x14ac:dyDescent="0.3">
      <c r="B82" s="119" t="s">
        <v>39</v>
      </c>
      <c r="C82" s="119" t="s">
        <v>37</v>
      </c>
    </row>
    <row r="83" spans="1:12" ht="15.75" thickBot="1" x14ac:dyDescent="0.3"/>
    <row r="84" spans="1:12" x14ac:dyDescent="0.25">
      <c r="A84" s="135" t="s">
        <v>0</v>
      </c>
      <c r="B84" s="138" t="s">
        <v>1</v>
      </c>
      <c r="C84" s="141" t="s">
        <v>2</v>
      </c>
      <c r="D84" s="143" t="s">
        <v>3</v>
      </c>
      <c r="E84" s="144"/>
      <c r="F84" s="144"/>
      <c r="G84" s="144"/>
      <c r="H84" s="144"/>
      <c r="I84" s="144"/>
      <c r="J84" s="144"/>
      <c r="K84" s="144"/>
      <c r="L84" s="145"/>
    </row>
    <row r="85" spans="1:12" x14ac:dyDescent="0.25">
      <c r="A85" s="136"/>
      <c r="B85" s="139"/>
      <c r="C85" s="139"/>
      <c r="D85" s="146" t="s">
        <v>4</v>
      </c>
      <c r="E85" s="146"/>
      <c r="F85" s="146"/>
      <c r="G85" s="146" t="s">
        <v>5</v>
      </c>
      <c r="H85" s="146"/>
      <c r="I85" s="146"/>
      <c r="J85" s="146"/>
      <c r="K85" s="146"/>
      <c r="L85" s="147"/>
    </row>
    <row r="86" spans="1:12" ht="43.5" thickBot="1" x14ac:dyDescent="0.3">
      <c r="A86" s="137"/>
      <c r="B86" s="140"/>
      <c r="C86" s="142"/>
      <c r="D86" s="2" t="s">
        <v>6</v>
      </c>
      <c r="E86" s="3" t="s">
        <v>7</v>
      </c>
      <c r="F86" s="3" t="s">
        <v>8</v>
      </c>
      <c r="G86" s="2" t="s">
        <v>6</v>
      </c>
      <c r="H86" s="3" t="s">
        <v>7</v>
      </c>
      <c r="I86" s="3" t="s">
        <v>8</v>
      </c>
      <c r="J86" s="2" t="s">
        <v>6</v>
      </c>
      <c r="K86" s="3" t="s">
        <v>7</v>
      </c>
      <c r="L86" s="4" t="s">
        <v>8</v>
      </c>
    </row>
    <row r="87" spans="1:12" ht="13.5" customHeight="1" x14ac:dyDescent="0.25">
      <c r="A87" s="5"/>
      <c r="B87" s="128" t="s">
        <v>15</v>
      </c>
      <c r="C87" s="120" t="s">
        <v>40</v>
      </c>
      <c r="D87" s="6"/>
      <c r="E87" s="6"/>
      <c r="F87" s="58"/>
      <c r="G87" s="6">
        <v>7.5</v>
      </c>
      <c r="H87" s="6"/>
      <c r="I87" s="8"/>
      <c r="J87" s="6"/>
      <c r="K87" s="6"/>
      <c r="L87" s="9"/>
    </row>
    <row r="88" spans="1:12" x14ac:dyDescent="0.25">
      <c r="A88" s="85"/>
      <c r="B88" s="129"/>
      <c r="C88" s="107" t="s">
        <v>44</v>
      </c>
      <c r="D88" s="6"/>
      <c r="E88" s="6"/>
      <c r="F88" s="58"/>
      <c r="G88" s="6">
        <v>12</v>
      </c>
      <c r="H88" s="6">
        <v>12.1</v>
      </c>
      <c r="I88" s="8">
        <f>G88/H88</f>
        <v>0.99173553719008267</v>
      </c>
      <c r="J88" s="6"/>
      <c r="K88" s="6"/>
      <c r="L88" s="9"/>
    </row>
    <row r="89" spans="1:12" ht="18" customHeight="1" x14ac:dyDescent="0.25">
      <c r="A89" s="85"/>
      <c r="B89" s="129"/>
      <c r="C89" s="32" t="s">
        <v>12</v>
      </c>
      <c r="D89" s="6">
        <v>10</v>
      </c>
      <c r="E89" s="6">
        <v>14.04</v>
      </c>
      <c r="F89" s="58">
        <f>D89/E89*100</f>
        <v>71.225071225071233</v>
      </c>
      <c r="G89" s="6"/>
      <c r="H89" s="6"/>
      <c r="I89" s="8"/>
      <c r="J89" s="6"/>
      <c r="K89" s="6"/>
      <c r="L89" s="9"/>
    </row>
    <row r="90" spans="1:12" ht="31.5" x14ac:dyDescent="0.25">
      <c r="A90" s="85"/>
      <c r="B90" s="129"/>
      <c r="C90" s="10" t="s">
        <v>49</v>
      </c>
      <c r="D90" s="6">
        <v>20</v>
      </c>
      <c r="E90" s="6">
        <v>22.19</v>
      </c>
      <c r="F90" s="58">
        <f t="shared" ref="F90:F96" si="5">D90/E90*100</f>
        <v>90.130689499774661</v>
      </c>
      <c r="G90" s="6"/>
      <c r="H90" s="6"/>
      <c r="I90" s="8"/>
      <c r="J90" s="6"/>
      <c r="K90" s="6"/>
      <c r="L90" s="9"/>
    </row>
    <row r="91" spans="1:12" ht="18" customHeight="1" x14ac:dyDescent="0.25">
      <c r="A91" s="85"/>
      <c r="B91" s="129"/>
      <c r="C91" s="89" t="s">
        <v>50</v>
      </c>
      <c r="D91" s="6">
        <v>30</v>
      </c>
      <c r="E91" s="6"/>
      <c r="F91" s="58"/>
      <c r="G91" s="6"/>
      <c r="H91" s="6"/>
      <c r="I91" s="8"/>
      <c r="J91" s="6"/>
      <c r="K91" s="6"/>
      <c r="L91" s="9"/>
    </row>
    <row r="92" spans="1:12" ht="18.75" customHeight="1" x14ac:dyDescent="0.25">
      <c r="A92" s="85"/>
      <c r="B92" s="129"/>
      <c r="C92" s="88" t="s">
        <v>51</v>
      </c>
      <c r="D92" s="6">
        <v>0.75</v>
      </c>
      <c r="E92" s="6">
        <v>0.76</v>
      </c>
      <c r="F92" s="58">
        <f t="shared" si="5"/>
        <v>98.68421052631578</v>
      </c>
      <c r="G92" s="6"/>
      <c r="H92" s="6"/>
      <c r="I92" s="8"/>
      <c r="J92" s="6"/>
      <c r="K92" s="6"/>
      <c r="L92" s="9"/>
    </row>
    <row r="93" spans="1:12" ht="18" customHeight="1" x14ac:dyDescent="0.25">
      <c r="A93" s="85"/>
      <c r="B93" s="129"/>
      <c r="C93" s="88" t="s">
        <v>52</v>
      </c>
      <c r="D93" s="6">
        <v>1.25</v>
      </c>
      <c r="E93" s="6">
        <v>1.24</v>
      </c>
      <c r="F93" s="58">
        <f t="shared" si="5"/>
        <v>100.80645161290323</v>
      </c>
      <c r="G93" s="6"/>
      <c r="H93" s="6"/>
      <c r="I93" s="8"/>
      <c r="J93" s="6"/>
      <c r="K93" s="6"/>
      <c r="L93" s="9"/>
    </row>
    <row r="94" spans="1:12" x14ac:dyDescent="0.25">
      <c r="A94" s="85"/>
      <c r="B94" s="129"/>
      <c r="C94" s="88" t="s">
        <v>28</v>
      </c>
      <c r="D94" s="6">
        <v>2.5</v>
      </c>
      <c r="E94" s="6">
        <v>2.69</v>
      </c>
      <c r="F94" s="58">
        <f t="shared" si="5"/>
        <v>92.936802973977692</v>
      </c>
      <c r="G94" s="6"/>
      <c r="H94" s="6"/>
      <c r="I94" s="8"/>
      <c r="J94" s="6"/>
      <c r="K94" s="6"/>
      <c r="L94" s="9"/>
    </row>
    <row r="95" spans="1:12" ht="16.5" customHeight="1" x14ac:dyDescent="0.25">
      <c r="A95" s="85"/>
      <c r="B95" s="129"/>
      <c r="C95" s="16" t="s">
        <v>54</v>
      </c>
      <c r="D95" s="6">
        <v>30</v>
      </c>
      <c r="E95" s="6"/>
      <c r="F95" s="58"/>
      <c r="G95" s="6"/>
      <c r="H95" s="6"/>
      <c r="I95" s="8"/>
      <c r="J95" s="6"/>
      <c r="K95" s="6"/>
      <c r="L95" s="9"/>
    </row>
    <row r="96" spans="1:12" ht="16.5" customHeight="1" x14ac:dyDescent="0.25">
      <c r="A96" s="85"/>
      <c r="B96" s="129"/>
      <c r="C96" s="56" t="s">
        <v>31</v>
      </c>
      <c r="D96" s="6">
        <v>0.75</v>
      </c>
      <c r="E96" s="6">
        <v>0.75</v>
      </c>
      <c r="F96" s="58">
        <f t="shared" si="5"/>
        <v>100</v>
      </c>
      <c r="G96" s="6"/>
      <c r="H96" s="6"/>
      <c r="I96" s="8"/>
      <c r="J96" s="6"/>
      <c r="K96" s="6"/>
      <c r="L96" s="9"/>
    </row>
    <row r="97" spans="1:12" ht="16.5" customHeight="1" x14ac:dyDescent="0.25">
      <c r="A97" s="85"/>
      <c r="B97" s="129"/>
      <c r="C97" s="56" t="s">
        <v>20</v>
      </c>
      <c r="D97" s="6"/>
      <c r="E97" s="6"/>
      <c r="F97" s="58"/>
      <c r="G97" s="6"/>
      <c r="H97" s="6"/>
      <c r="I97" s="8"/>
      <c r="J97" s="6"/>
      <c r="K97" s="6"/>
      <c r="L97" s="9"/>
    </row>
    <row r="98" spans="1:12" ht="15.75" x14ac:dyDescent="0.25">
      <c r="A98" s="124"/>
      <c r="B98" s="129"/>
      <c r="C98" s="92"/>
      <c r="D98" s="11"/>
      <c r="E98" s="12"/>
      <c r="F98" s="58"/>
      <c r="G98" s="12"/>
      <c r="H98" s="12"/>
      <c r="I98" s="14"/>
      <c r="J98" s="12"/>
      <c r="K98" s="12"/>
      <c r="L98" s="15"/>
    </row>
    <row r="99" spans="1:12" ht="15.75" x14ac:dyDescent="0.25">
      <c r="A99" s="18"/>
      <c r="B99" s="19"/>
      <c r="C99" s="20" t="s">
        <v>10</v>
      </c>
      <c r="D99" s="21"/>
      <c r="E99" s="21"/>
      <c r="F99" s="6"/>
      <c r="G99" s="22"/>
      <c r="H99" s="22"/>
      <c r="I99" s="23"/>
      <c r="J99" s="22"/>
      <c r="K99" s="22"/>
      <c r="L99" s="24"/>
    </row>
    <row r="100" spans="1:12" s="102" customFormat="1" ht="15.75" x14ac:dyDescent="0.25">
      <c r="A100" s="18"/>
      <c r="B100" s="97"/>
      <c r="C100" s="10"/>
      <c r="D100" s="98"/>
      <c r="E100" s="98"/>
      <c r="F100" s="108"/>
      <c r="G100" s="99"/>
      <c r="H100" s="99"/>
      <c r="I100" s="100"/>
      <c r="J100" s="99"/>
      <c r="K100" s="99"/>
      <c r="L100" s="101"/>
    </row>
    <row r="101" spans="1:12" ht="16.5" customHeight="1" x14ac:dyDescent="0.25">
      <c r="A101" s="130">
        <v>4</v>
      </c>
      <c r="B101" s="133" t="s">
        <v>13</v>
      </c>
      <c r="C101" s="120" t="s">
        <v>40</v>
      </c>
      <c r="D101" s="12"/>
      <c r="E101" s="12"/>
      <c r="F101" s="108"/>
      <c r="G101" s="12">
        <v>1.5</v>
      </c>
      <c r="H101" s="12"/>
      <c r="I101" s="13"/>
      <c r="J101" s="12"/>
      <c r="K101" s="12"/>
      <c r="L101" s="15"/>
    </row>
    <row r="102" spans="1:12" x14ac:dyDescent="0.25">
      <c r="A102" s="131"/>
      <c r="B102" s="134"/>
      <c r="C102" s="107" t="s">
        <v>44</v>
      </c>
      <c r="D102" s="12"/>
      <c r="E102" s="12"/>
      <c r="F102" s="108"/>
      <c r="G102" s="12">
        <v>2</v>
      </c>
      <c r="H102" s="12">
        <v>1.73</v>
      </c>
      <c r="I102" s="13">
        <f>G102/H102</f>
        <v>1.1560693641618498</v>
      </c>
      <c r="J102" s="12"/>
      <c r="K102" s="12"/>
      <c r="L102" s="15"/>
    </row>
    <row r="103" spans="1:12" ht="17.25" customHeight="1" x14ac:dyDescent="0.25">
      <c r="A103" s="131"/>
      <c r="B103" s="134"/>
      <c r="C103" s="32" t="s">
        <v>12</v>
      </c>
      <c r="D103" s="12">
        <v>2</v>
      </c>
      <c r="E103" s="12">
        <v>1.51</v>
      </c>
      <c r="F103" s="108">
        <f>D103/E103*100</f>
        <v>132.45033112582783</v>
      </c>
      <c r="G103" s="12"/>
      <c r="H103" s="12"/>
      <c r="I103" s="13"/>
      <c r="J103" s="12"/>
      <c r="K103" s="12"/>
      <c r="L103" s="15"/>
    </row>
    <row r="104" spans="1:12" ht="31.5" x14ac:dyDescent="0.25">
      <c r="A104" s="131"/>
      <c r="B104" s="134"/>
      <c r="C104" s="10" t="s">
        <v>49</v>
      </c>
      <c r="D104" s="12">
        <v>3</v>
      </c>
      <c r="E104" s="12">
        <v>3.34</v>
      </c>
      <c r="F104" s="108">
        <f t="shared" ref="F104:F111" si="6">D104/E104*100</f>
        <v>89.820359281437135</v>
      </c>
      <c r="G104" s="12"/>
      <c r="H104" s="12"/>
      <c r="I104" s="13"/>
      <c r="J104" s="12"/>
      <c r="K104" s="12"/>
      <c r="L104" s="15"/>
    </row>
    <row r="105" spans="1:12" ht="18" customHeight="1" x14ac:dyDescent="0.25">
      <c r="A105" s="131"/>
      <c r="B105" s="134"/>
      <c r="C105" s="89" t="s">
        <v>50</v>
      </c>
      <c r="D105" s="12">
        <v>5.5</v>
      </c>
      <c r="E105" s="12"/>
      <c r="F105" s="108"/>
      <c r="G105" s="12"/>
      <c r="H105" s="12"/>
      <c r="I105" s="13"/>
      <c r="J105" s="12"/>
      <c r="K105" s="12"/>
      <c r="L105" s="15"/>
    </row>
    <row r="106" spans="1:12" ht="18" customHeight="1" x14ac:dyDescent="0.25">
      <c r="A106" s="131"/>
      <c r="B106" s="134"/>
      <c r="C106" s="16" t="s">
        <v>54</v>
      </c>
      <c r="D106" s="12">
        <v>6</v>
      </c>
      <c r="E106" s="12"/>
      <c r="F106" s="108"/>
      <c r="G106" s="12"/>
      <c r="H106" s="12"/>
      <c r="I106" s="13"/>
      <c r="J106" s="12"/>
      <c r="K106" s="12"/>
      <c r="L106" s="15"/>
    </row>
    <row r="107" spans="1:12" ht="15.75" x14ac:dyDescent="0.25">
      <c r="A107" s="131"/>
      <c r="B107" s="134"/>
      <c r="C107" s="56" t="s">
        <v>31</v>
      </c>
      <c r="D107" s="12">
        <v>1</v>
      </c>
      <c r="E107" s="12">
        <v>1</v>
      </c>
      <c r="F107" s="108">
        <f t="shared" si="6"/>
        <v>100</v>
      </c>
      <c r="G107" s="12"/>
      <c r="H107" s="12"/>
      <c r="I107" s="13"/>
      <c r="J107" s="12"/>
      <c r="K107" s="12"/>
      <c r="L107" s="15"/>
    </row>
    <row r="108" spans="1:12" ht="15.75" x14ac:dyDescent="0.25">
      <c r="A108" s="131"/>
      <c r="B108" s="134"/>
      <c r="C108" s="56" t="s">
        <v>20</v>
      </c>
      <c r="D108" s="12">
        <v>0.5</v>
      </c>
      <c r="E108" s="12">
        <v>0.5</v>
      </c>
      <c r="F108" s="108">
        <f t="shared" si="6"/>
        <v>100</v>
      </c>
      <c r="G108" s="12"/>
      <c r="H108" s="12"/>
      <c r="I108" s="59"/>
      <c r="J108" s="12"/>
      <c r="K108" s="12"/>
      <c r="L108" s="15"/>
    </row>
    <row r="109" spans="1:12" ht="16.5" customHeight="1" x14ac:dyDescent="0.25">
      <c r="A109" s="131"/>
      <c r="B109" s="94"/>
      <c r="C109" s="88" t="s">
        <v>51</v>
      </c>
      <c r="D109" s="12">
        <v>0.18</v>
      </c>
      <c r="E109" s="12">
        <v>0.25</v>
      </c>
      <c r="F109" s="108">
        <f t="shared" si="6"/>
        <v>72</v>
      </c>
      <c r="G109" s="12"/>
      <c r="H109" s="12"/>
      <c r="I109" s="59"/>
      <c r="J109" s="12"/>
      <c r="K109" s="12"/>
      <c r="L109" s="15"/>
    </row>
    <row r="110" spans="1:12" ht="16.5" customHeight="1" x14ac:dyDescent="0.25">
      <c r="A110" s="131"/>
      <c r="B110" s="94"/>
      <c r="C110" s="88" t="s">
        <v>52</v>
      </c>
      <c r="D110" s="12">
        <v>0.5</v>
      </c>
      <c r="E110" s="12">
        <v>0.31</v>
      </c>
      <c r="F110" s="108">
        <f t="shared" si="6"/>
        <v>161.29032258064518</v>
      </c>
      <c r="G110" s="12"/>
      <c r="H110" s="12"/>
      <c r="I110" s="59"/>
      <c r="J110" s="12"/>
      <c r="K110" s="12"/>
      <c r="L110" s="15"/>
    </row>
    <row r="111" spans="1:12" x14ac:dyDescent="0.25">
      <c r="A111" s="131"/>
      <c r="B111" s="94"/>
      <c r="C111" s="88" t="s">
        <v>28</v>
      </c>
      <c r="D111" s="12">
        <v>1</v>
      </c>
      <c r="E111" s="12">
        <v>0.59</v>
      </c>
      <c r="F111" s="108">
        <f t="shared" si="6"/>
        <v>169.49152542372883</v>
      </c>
      <c r="G111" s="12"/>
      <c r="H111" s="12"/>
      <c r="I111" s="59"/>
      <c r="J111" s="12"/>
      <c r="K111" s="12"/>
      <c r="L111" s="15"/>
    </row>
    <row r="112" spans="1:12" ht="15.75" x14ac:dyDescent="0.25">
      <c r="A112" s="131"/>
      <c r="B112" s="94"/>
      <c r="C112" s="56"/>
      <c r="D112" s="12"/>
      <c r="E112" s="12"/>
      <c r="F112" s="108"/>
      <c r="G112" s="12"/>
      <c r="H112" s="12"/>
      <c r="I112" s="59"/>
      <c r="J112" s="12"/>
      <c r="K112" s="12"/>
      <c r="L112" s="15"/>
    </row>
    <row r="113" spans="1:12" ht="15.75" x14ac:dyDescent="0.25">
      <c r="A113" s="131"/>
      <c r="B113" s="94"/>
      <c r="C113" s="92"/>
      <c r="D113" s="12"/>
      <c r="E113" s="12"/>
      <c r="F113" s="108"/>
      <c r="G113" s="12"/>
      <c r="H113" s="12"/>
      <c r="I113" s="59"/>
      <c r="J113" s="12"/>
      <c r="K113" s="12"/>
      <c r="L113" s="15"/>
    </row>
    <row r="114" spans="1:12" x14ac:dyDescent="0.25">
      <c r="A114" s="132"/>
      <c r="B114" s="55"/>
      <c r="C114" s="33" t="s">
        <v>10</v>
      </c>
      <c r="D114" s="34"/>
      <c r="E114" s="34"/>
      <c r="F114" s="35"/>
      <c r="G114" s="34"/>
      <c r="H114" s="34"/>
      <c r="I114" s="36"/>
      <c r="J114" s="34"/>
      <c r="K114" s="34"/>
      <c r="L114" s="37"/>
    </row>
    <row r="115" spans="1:12" s="102" customFormat="1" ht="15.75" x14ac:dyDescent="0.25">
      <c r="A115" s="103"/>
      <c r="B115" s="104"/>
      <c r="C115" s="10"/>
      <c r="D115" s="99"/>
      <c r="E115" s="99"/>
      <c r="F115" s="105"/>
      <c r="G115" s="99"/>
      <c r="H115" s="99"/>
      <c r="I115" s="100"/>
      <c r="J115" s="99"/>
      <c r="K115" s="99"/>
      <c r="L115" s="106"/>
    </row>
    <row r="116" spans="1:12" ht="15.75" customHeight="1" x14ac:dyDescent="0.25">
      <c r="A116" s="39"/>
      <c r="B116" s="54" t="s">
        <v>14</v>
      </c>
      <c r="C116" s="120" t="s">
        <v>40</v>
      </c>
      <c r="D116" s="16"/>
      <c r="E116" s="16"/>
      <c r="F116" s="105"/>
      <c r="G116" s="12">
        <v>2</v>
      </c>
      <c r="H116" s="12"/>
      <c r="I116" s="13"/>
      <c r="J116" s="12"/>
      <c r="K116" s="12"/>
      <c r="L116" s="15"/>
    </row>
    <row r="117" spans="1:12" ht="15.75" x14ac:dyDescent="0.25">
      <c r="A117" s="39"/>
      <c r="B117" s="96"/>
      <c r="C117" s="107" t="s">
        <v>44</v>
      </c>
      <c r="D117" s="16"/>
      <c r="E117" s="16"/>
      <c r="F117" s="105"/>
      <c r="G117" s="12">
        <v>3</v>
      </c>
      <c r="H117" s="12">
        <v>2.61</v>
      </c>
      <c r="I117" s="13">
        <f>G117/H117</f>
        <v>1.149425287356322</v>
      </c>
      <c r="J117" s="12"/>
      <c r="K117" s="12"/>
      <c r="L117" s="15"/>
    </row>
    <row r="118" spans="1:12" ht="19.5" customHeight="1" x14ac:dyDescent="0.25">
      <c r="A118" s="39"/>
      <c r="B118" s="96"/>
      <c r="C118" s="32" t="s">
        <v>12</v>
      </c>
      <c r="D118" s="16">
        <v>3.25</v>
      </c>
      <c r="E118" s="16">
        <v>3.02</v>
      </c>
      <c r="F118" s="105">
        <f>D118/E118*100</f>
        <v>107.61589403973511</v>
      </c>
      <c r="G118" s="12"/>
      <c r="H118" s="12"/>
      <c r="I118" s="13"/>
      <c r="J118" s="12"/>
      <c r="K118" s="12"/>
      <c r="L118" s="15"/>
    </row>
    <row r="119" spans="1:12" ht="19.5" customHeight="1" x14ac:dyDescent="0.25">
      <c r="A119" s="39"/>
      <c r="B119" s="96"/>
      <c r="C119" s="89" t="s">
        <v>50</v>
      </c>
      <c r="D119" s="16">
        <v>10</v>
      </c>
      <c r="E119" s="16"/>
      <c r="F119" s="105"/>
      <c r="G119" s="12"/>
      <c r="H119" s="12"/>
      <c r="I119" s="13"/>
      <c r="J119" s="12"/>
      <c r="K119" s="12"/>
      <c r="L119" s="15"/>
    </row>
    <row r="120" spans="1:12" ht="19.5" customHeight="1" x14ac:dyDescent="0.25">
      <c r="A120" s="39"/>
      <c r="B120" s="96"/>
      <c r="C120" s="16" t="s">
        <v>54</v>
      </c>
      <c r="D120" s="16">
        <v>8</v>
      </c>
      <c r="E120" s="16"/>
      <c r="F120" s="105"/>
      <c r="G120" s="12"/>
      <c r="H120" s="12"/>
      <c r="I120" s="13"/>
      <c r="J120" s="12"/>
      <c r="K120" s="12"/>
      <c r="L120" s="15"/>
    </row>
    <row r="121" spans="1:12" ht="15.75" x14ac:dyDescent="0.25">
      <c r="A121" s="39"/>
      <c r="B121" s="96"/>
      <c r="C121" s="92"/>
      <c r="D121" s="16"/>
      <c r="E121" s="16"/>
      <c r="F121" s="105"/>
      <c r="G121" s="12"/>
      <c r="H121" s="12"/>
      <c r="I121" s="13"/>
      <c r="J121" s="12"/>
      <c r="K121" s="12"/>
      <c r="L121" s="15"/>
    </row>
    <row r="122" spans="1:12" x14ac:dyDescent="0.25">
      <c r="A122" s="41"/>
      <c r="B122" s="42"/>
      <c r="C122" s="33" t="s">
        <v>10</v>
      </c>
      <c r="D122" s="34"/>
      <c r="E122" s="34"/>
      <c r="F122" s="14"/>
      <c r="G122" s="34"/>
      <c r="H122" s="34"/>
      <c r="I122" s="36"/>
      <c r="J122" s="34"/>
      <c r="K122" s="34"/>
      <c r="L122" s="43"/>
    </row>
    <row r="123" spans="1:12" s="102" customFormat="1" ht="30" x14ac:dyDescent="0.25">
      <c r="A123" s="44"/>
      <c r="B123" s="154" t="s">
        <v>16</v>
      </c>
      <c r="C123" s="112" t="s">
        <v>27</v>
      </c>
      <c r="D123" s="99">
        <v>4</v>
      </c>
      <c r="E123" s="99">
        <v>3.25</v>
      </c>
      <c r="F123" s="105">
        <f>D123/E123*100</f>
        <v>123.07692307692308</v>
      </c>
      <c r="G123" s="99"/>
      <c r="H123" s="99"/>
      <c r="I123" s="100"/>
      <c r="J123" s="99"/>
      <c r="K123" s="99"/>
      <c r="L123" s="101"/>
    </row>
    <row r="124" spans="1:12" ht="15.75" x14ac:dyDescent="0.25">
      <c r="A124" s="40"/>
      <c r="B124" s="155"/>
      <c r="C124" s="16"/>
      <c r="D124" s="12"/>
      <c r="E124" s="12"/>
      <c r="F124" s="14"/>
      <c r="G124" s="12"/>
      <c r="H124" s="12"/>
      <c r="I124" s="12"/>
      <c r="J124" s="12"/>
      <c r="K124" s="12"/>
      <c r="L124" s="15"/>
    </row>
    <row r="125" spans="1:12" x14ac:dyDescent="0.25">
      <c r="A125" s="45"/>
      <c r="B125" s="46"/>
      <c r="C125" s="33" t="s">
        <v>10</v>
      </c>
      <c r="D125" s="47"/>
      <c r="E125" s="47"/>
      <c r="F125" s="35"/>
      <c r="G125" s="47"/>
      <c r="H125" s="47"/>
      <c r="I125" s="47"/>
      <c r="J125" s="47"/>
      <c r="K125" s="47"/>
      <c r="L125" s="48"/>
    </row>
  </sheetData>
  <mergeCells count="26">
    <mergeCell ref="N3:N5"/>
    <mergeCell ref="O3:O5"/>
    <mergeCell ref="D4:F4"/>
    <mergeCell ref="G4:I4"/>
    <mergeCell ref="J4:L4"/>
    <mergeCell ref="A3:A5"/>
    <mergeCell ref="B3:B5"/>
    <mergeCell ref="C3:C5"/>
    <mergeCell ref="D3:L3"/>
    <mergeCell ref="B6:B16"/>
    <mergeCell ref="B87:B98"/>
    <mergeCell ref="A101:A114"/>
    <mergeCell ref="B101:B108"/>
    <mergeCell ref="B123:B124"/>
    <mergeCell ref="N18:N32"/>
    <mergeCell ref="B44:B69"/>
    <mergeCell ref="A84:A86"/>
    <mergeCell ref="B84:B86"/>
    <mergeCell ref="C84:C86"/>
    <mergeCell ref="D84:L84"/>
    <mergeCell ref="D85:F85"/>
    <mergeCell ref="G85:I85"/>
    <mergeCell ref="J85:L85"/>
    <mergeCell ref="B71:B78"/>
    <mergeCell ref="A18:A32"/>
    <mergeCell ref="B18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MEKONEN</dc:creator>
  <cp:lastModifiedBy>Engdaw Admasu</cp:lastModifiedBy>
  <dcterms:created xsi:type="dcterms:W3CDTF">2025-10-14T05:37:49Z</dcterms:created>
  <dcterms:modified xsi:type="dcterms:W3CDTF">2026-02-11T07:06:15Z</dcterms:modified>
</cp:coreProperties>
</file>