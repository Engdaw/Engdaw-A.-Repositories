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2"/>
  </bookViews>
  <sheets>
    <sheet name="hidar" sheetId="1" r:id="rId1"/>
    <sheet name="tahsas" sheetId="2" r:id="rId2"/>
    <sheet name="Tir" sheetId="3" r:id="rId3"/>
  </sheets>
  <calcPr calcId="124519"/>
</workbook>
</file>

<file path=xl/calcChain.xml><?xml version="1.0" encoding="utf-8"?>
<calcChain xmlns="http://schemas.openxmlformats.org/spreadsheetml/2006/main">
  <c r="F120" i="3"/>
  <c r="F106"/>
  <c r="F95"/>
  <c r="F119"/>
  <c r="F105"/>
  <c r="F91"/>
  <c r="F75"/>
  <c r="F76"/>
  <c r="F77"/>
  <c r="F78"/>
  <c r="F74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50"/>
  <c r="F51"/>
  <c r="F52"/>
  <c r="F53"/>
  <c r="F54"/>
  <c r="F30"/>
  <c r="F9"/>
  <c r="F10"/>
  <c r="F11"/>
  <c r="F12"/>
  <c r="F13"/>
  <c r="F14"/>
  <c r="F8"/>
  <c r="F123"/>
  <c r="F118"/>
  <c r="F104"/>
  <c r="F107"/>
  <c r="F108"/>
  <c r="F109"/>
  <c r="F110"/>
  <c r="F111"/>
  <c r="F103"/>
  <c r="F90"/>
  <c r="F92"/>
  <c r="F93"/>
  <c r="F94"/>
  <c r="F96"/>
  <c r="F89"/>
  <c r="I117" l="1"/>
  <c r="I102"/>
  <c r="I88"/>
  <c r="I72"/>
  <c r="I73"/>
  <c r="I71"/>
  <c r="I56"/>
  <c r="I19"/>
  <c r="I20"/>
  <c r="I21"/>
  <c r="I22"/>
  <c r="I23"/>
  <c r="I24"/>
  <c r="I25"/>
  <c r="I26"/>
  <c r="I27"/>
  <c r="I29"/>
  <c r="I18"/>
  <c r="I7"/>
  <c r="F37" i="2" l="1"/>
  <c r="F199"/>
  <c r="F198"/>
  <c r="I194"/>
  <c r="I188"/>
  <c r="I181"/>
  <c r="F189"/>
  <c r="F190"/>
  <c r="F191"/>
  <c r="F192"/>
  <c r="F193"/>
  <c r="F188"/>
  <c r="F176"/>
  <c r="F177"/>
  <c r="F178"/>
  <c r="F179"/>
  <c r="F180"/>
  <c r="F181"/>
  <c r="F182"/>
  <c r="F183"/>
  <c r="F184"/>
  <c r="F185"/>
  <c r="F186"/>
  <c r="F175"/>
  <c r="I166"/>
  <c r="F161"/>
  <c r="F162"/>
  <c r="F163"/>
  <c r="F164"/>
  <c r="F165"/>
  <c r="F166"/>
  <c r="F167"/>
  <c r="F168"/>
  <c r="F169"/>
  <c r="F170"/>
  <c r="F171"/>
  <c r="F160"/>
  <c r="I148"/>
  <c r="I142"/>
  <c r="I133"/>
  <c r="I107"/>
  <c r="I108"/>
  <c r="I109"/>
  <c r="I111"/>
  <c r="I112"/>
  <c r="I113"/>
  <c r="I114"/>
  <c r="I115"/>
  <c r="I106"/>
  <c r="I82"/>
  <c r="I84"/>
  <c r="I77"/>
  <c r="I61"/>
  <c r="I15"/>
  <c r="F138"/>
  <c r="F139"/>
  <c r="F140"/>
  <c r="F141"/>
  <c r="F142"/>
  <c r="F143"/>
  <c r="F144"/>
  <c r="F145"/>
  <c r="F146"/>
  <c r="F147"/>
  <c r="F137"/>
  <c r="F130"/>
  <c r="F131"/>
  <c r="F132"/>
  <c r="F24"/>
  <c r="F27"/>
  <c r="F28"/>
  <c r="F29"/>
  <c r="F30"/>
  <c r="F31"/>
  <c r="F33"/>
  <c r="F34"/>
  <c r="F35"/>
  <c r="F36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7"/>
  <c r="F98"/>
  <c r="F99"/>
  <c r="F100"/>
  <c r="F101"/>
  <c r="F102"/>
  <c r="F103"/>
  <c r="F104"/>
  <c r="F105"/>
  <c r="F106"/>
  <c r="F118"/>
  <c r="F119"/>
  <c r="F121"/>
  <c r="F122"/>
  <c r="F123"/>
  <c r="F125"/>
  <c r="F8"/>
  <c r="F9"/>
  <c r="F10"/>
  <c r="F11"/>
  <c r="F12"/>
  <c r="F13"/>
  <c r="F14"/>
  <c r="F15"/>
  <c r="F16"/>
  <c r="F17"/>
  <c r="F18"/>
  <c r="F19"/>
  <c r="F20"/>
  <c r="F21"/>
  <c r="F7"/>
  <c r="F147" i="1" l="1"/>
  <c r="F148"/>
  <c r="F149"/>
  <c r="F13"/>
  <c r="F12"/>
  <c r="F11"/>
  <c r="F10"/>
  <c r="F53"/>
  <c r="F52"/>
  <c r="F51"/>
  <c r="F108"/>
  <c r="F106"/>
  <c r="F107"/>
  <c r="F155"/>
  <c r="F156"/>
  <c r="F157"/>
  <c r="F154"/>
  <c r="F150"/>
  <c r="F151"/>
  <c r="F152"/>
  <c r="F146"/>
  <c r="F142"/>
  <c r="F143"/>
  <c r="F144"/>
  <c r="F138"/>
  <c r="F114"/>
  <c r="F115"/>
  <c r="F120"/>
  <c r="F122"/>
  <c r="F123"/>
  <c r="F124"/>
  <c r="F125"/>
  <c r="F95"/>
  <c r="F96"/>
  <c r="F100"/>
  <c r="F101"/>
  <c r="F102"/>
  <c r="F103"/>
  <c r="F104"/>
  <c r="F91"/>
  <c r="F89"/>
  <c r="I75"/>
  <c r="I78"/>
  <c r="I79"/>
  <c r="I80"/>
  <c r="I81"/>
  <c r="I82"/>
  <c r="I83"/>
  <c r="I84"/>
  <c r="I85"/>
  <c r="I87"/>
  <c r="I74"/>
  <c r="F17"/>
  <c r="F18"/>
  <c r="F20"/>
  <c r="F21"/>
  <c r="F25"/>
  <c r="F26"/>
  <c r="F27"/>
  <c r="F28"/>
  <c r="F29"/>
  <c r="F30"/>
  <c r="F31"/>
  <c r="F33"/>
  <c r="F34"/>
  <c r="F35"/>
  <c r="F36"/>
  <c r="F37"/>
  <c r="F38"/>
  <c r="F39"/>
  <c r="F41"/>
  <c r="F42"/>
  <c r="F43"/>
  <c r="F45"/>
  <c r="F46"/>
  <c r="F47"/>
  <c r="F48"/>
  <c r="F49"/>
  <c r="F50"/>
  <c r="F54"/>
  <c r="F55"/>
  <c r="F56"/>
  <c r="F57"/>
  <c r="F58"/>
  <c r="F59"/>
  <c r="F60"/>
  <c r="F61"/>
  <c r="F62"/>
  <c r="F63"/>
  <c r="F64"/>
  <c r="F66"/>
  <c r="F67"/>
  <c r="F69"/>
  <c r="F70"/>
  <c r="F71"/>
  <c r="F72"/>
  <c r="F73"/>
  <c r="F15"/>
  <c r="F7"/>
  <c r="F8"/>
  <c r="F9"/>
  <c r="F6"/>
  <c r="F159" l="1"/>
  <c r="E145"/>
  <c r="H145" l="1"/>
  <c r="G145"/>
  <c r="D145"/>
</calcChain>
</file>

<file path=xl/sharedStrings.xml><?xml version="1.0" encoding="utf-8"?>
<sst xmlns="http://schemas.openxmlformats.org/spreadsheetml/2006/main" count="529" uniqueCount="219">
  <si>
    <t>Item No</t>
  </si>
  <si>
    <t>Type of Labour</t>
  </si>
  <si>
    <t>Type of work</t>
  </si>
  <si>
    <t>Project</t>
  </si>
  <si>
    <t>Mehal Sayint</t>
  </si>
  <si>
    <t>Sayint Adjibar</t>
  </si>
  <si>
    <t xml:space="preserve">Used  </t>
  </si>
  <si>
    <t>Required (as per the standard)</t>
  </si>
  <si>
    <t>Percent usage</t>
  </si>
  <si>
    <t>Mason</t>
  </si>
  <si>
    <t>Provide and construct 1.90m *1.90m stone masonry valve chamber as per the drawing. Price including 4mm thick sheet metal and excavation, hard core and finishing works of valve chamber</t>
  </si>
  <si>
    <t>Total sum</t>
  </si>
  <si>
    <t>D.Labor</t>
  </si>
  <si>
    <t>Construction of RCC class C-25 for pipe encasement for road, River, Gully and Road crossings as per standard drawings, price includes excavation, reinforcement, formwork, backfill and any other necessary works.</t>
  </si>
  <si>
    <t>Bar bender</t>
  </si>
  <si>
    <t>sand</t>
  </si>
  <si>
    <t>gravel</t>
  </si>
  <si>
    <t>2*1.2m*1.2m and 5*1.5*1.2 metal sheet double opening windows (1.5mm thick) with suitable hinges and lock and key system approved by the Engineer.</t>
  </si>
  <si>
    <t xml:space="preserve">1.2m*1.2m </t>
  </si>
  <si>
    <t xml:space="preserve"> 1.5m*1.2m</t>
  </si>
  <si>
    <t>4*0.8m*2.1m one open and 2*1.2*2.1 double open metal sheet doors (1.5mm thick) with suitable hinges and lock and key system approved by the Engineer.</t>
  </si>
  <si>
    <t xml:space="preserve">0.8m*2.1m  </t>
  </si>
  <si>
    <t>1.2m*2.1m</t>
  </si>
  <si>
    <t xml:space="preserve">OD160mm Butt Weld Stub Flanged Adapter with  backing ring </t>
  </si>
  <si>
    <t xml:space="preserve">OD200mm x OD160 Butt Weld Reducer , PN10 </t>
  </si>
  <si>
    <t>DN150  Dismantling joint PN10</t>
  </si>
  <si>
    <t>Cement</t>
  </si>
  <si>
    <t>Stone</t>
  </si>
  <si>
    <t>Prepare and provide as built drawings of all works constructed under this contract as per the specification and to the satisfaction of engineer or client (Including the existing system)</t>
  </si>
  <si>
    <t>Construct 4000mmx2000mm size gate with   metal frame and rectangular hollow tube RHS 100mm*100mm*3mm including 2mm sheet metal having three coats of antirust painting, including hinges and lock.</t>
  </si>
  <si>
    <t>Supply and erect 50mm*50mm*3mm angle iron stands with c/c spaced at 150cm to a height of 2.3m above ground level with 7 lines of barbed wire mesh of 200mm and 400mm spacing, the bottom 5 and upper 2 lines, respectively with cross diagonal &amp; to a depth of 60cm embedded in concrete foundation of 300mm*300mm.</t>
  </si>
  <si>
    <t>Construct 1500mmx2000mm size gate with   metal frame and rectangular hollow tube RHS 80mm*80 mm with 3 mm thickness including sheet metal having three coats of antirust painting including hinges and lock.</t>
  </si>
  <si>
    <t>Installation HDPE Compression Reducer (mmxmm),PN10</t>
  </si>
  <si>
    <t>OD 63*50</t>
  </si>
  <si>
    <t>OD 63*40</t>
  </si>
  <si>
    <t>OD160mm Stub Flange Adaptors</t>
  </si>
  <si>
    <t>OD200*110*200 butt weld reducer Tee</t>
  </si>
  <si>
    <t>OD63*63*63 Butt weld</t>
  </si>
  <si>
    <t>OD75*75*75 Butt weld</t>
  </si>
  <si>
    <t>OD63*2" female adapter</t>
  </si>
  <si>
    <t xml:space="preserve"> 1 1/4" GI nipples</t>
  </si>
  <si>
    <t xml:space="preserve"> 1 1/2"  GI nipple</t>
  </si>
  <si>
    <t xml:space="preserve"> 2"     GI nipple</t>
  </si>
  <si>
    <t xml:space="preserve"> 2 1/2"    GI nipple</t>
  </si>
  <si>
    <t xml:space="preserve"> 2"    GI union</t>
  </si>
  <si>
    <t xml:space="preserve"> 2 1/2"  GI union</t>
  </si>
  <si>
    <t>Threaded Gate valve DN2"</t>
  </si>
  <si>
    <t xml:space="preserve">Install Double Flanged Pressure Reduce Valve (PRV) DN 150mm PN10 Q=29.05 l/s to be installed on OD160mm PN10  Pipe; the PRV should reduce an Inlet Pressure of 62.72 m H2O/6.3 Bar/ to an Outlet pressure of 20m H2O /2Bar/ under flow Condition (for Dynamic Pressure Control) and Reduce an Inlet pressure of  80.14 m H2O /8.01Bar/ to an Outlet pressure of 20m H2O /2Bar/ under the No flow Condition (for Static Pressure Control) i.e the Pressure should have a) "dropping -tight controlling future. The PRV should contain the important components such as balanced spring Diaphragm, Valve Fittings like stainless steel strainer,  any another necessary Works. </t>
  </si>
  <si>
    <t>DN150mm Double Flanged CI Gate Valve, PN10</t>
  </si>
  <si>
    <t>For PRV-2</t>
  </si>
  <si>
    <t xml:space="preserve">Install Double Flanged Pressure Reduce Valve (PRV) DN50mm PN10 Q=2.65 l/s to be installed on OD63mm Pipe; the PRV should reduce an Inlet Pressure of 13.7 m H2O/1.4 Bar/ to an Outlet pressure of 10m H2O /1.0Bar/ under flow Condition (for Dynamic Pressure Control) and Reduce an Inlet pressure of  78.8 m H2O /7.9 Bar/ to an Outlet pressure of 10m H2O /1 Bar/ under the No flow Condition (for Static Pressure Control) i.e the Pressure should have a) "dropping -tight controlling future. The PRV should contain the important components such as balanced spring Diaphragm, Valve Fittings like stainless steel strainer, and any another necessary Works. </t>
  </si>
  <si>
    <t>DN80mm Double Flanged CI Gate Valve, PN10</t>
  </si>
  <si>
    <t>DN80  Dismantling joint PN10</t>
  </si>
  <si>
    <t>`</t>
  </si>
  <si>
    <t xml:space="preserve">Double Flanged Pressure Reduce Valve (PRV) DN80mm PN10 Q=5.48 l/s to be installed on OD90mm Pipe; the PRV should reduce an Inlet Pressure of 48 m H2O/4.8 Bar/ to an Outlet pressure of 30m H2O /3.0Bar/ under flow Condition (for Dynamic Pressure Control) and Reduce an Inlet pressure of  78.8 m H2O /7.9 Bar/ to an Outlet pressure of 30m H2O /3 Bar/ under the No flow Condition (for Static Pressure Control) i.e the Pressure should have a) "dropping -tight controlling future. The PRV should contain the important components such as balanced spring Diaphragm, Valve Fittings like stainless steel strainer, and any another necessary Works. </t>
  </si>
  <si>
    <t>OD90mm Butt Weld Stub Flanged Adapter with  backing ring,PN10</t>
  </si>
  <si>
    <t>DN80 Dismantling joint PN10</t>
  </si>
  <si>
    <t>Provide and construct 2.7m *2.4m stone masonry valve chamber as per the drawing. Price including 4mm thick sheet metal and excavation, hard core and finishing works of valve chamber.</t>
  </si>
  <si>
    <t>concrete work - For ring beam -500m3</t>
  </si>
  <si>
    <t>formwork-  For ring beam -500m3</t>
  </si>
  <si>
    <t>Diameter 20 mm deformed bar</t>
  </si>
  <si>
    <t>Diameter 16 mm deformed bar</t>
  </si>
  <si>
    <t>Diameter 12 mm deformed bar</t>
  </si>
  <si>
    <t>Diameter 10 mm deformed bar</t>
  </si>
  <si>
    <t>Diameter 8 mm deformed bar</t>
  </si>
  <si>
    <t>Supply and Installation of 2'' GS pipe ladder with safety gage and installation with 5.5 m height and horizontal member 1'' GI pipe width 50cm with spacing of ladder 30cm c/c for internal part as shown the drawing and hooked to base and roof slabs.</t>
  </si>
  <si>
    <t>1.5mm thick sheet metal doors, size 2.00 x 1.00m</t>
  </si>
  <si>
    <t>Supply and erect 50mm*50mm*3mm angle iron stands with c/c spaced at 100cm to a height of 2.3m above ground level with 7 lines of barbed wire mesh of 200mm and 400mm spacing, the bottom 5 and upper 2 lines, respectively with cross diagonal &amp; to a depth of 60cm embedded in concrete foundation of 300mm*300mm.</t>
  </si>
  <si>
    <t>Construct 1500mmx2000mm size gate with metal frame and rectangular hollow tube RHS 40*40 mm with 3 mm thickness including 2mm thickness sheet metal having three coats of antirust painting including hinges and lock.</t>
  </si>
  <si>
    <t>Supply and fix 900mm x 2100 mm metal door 1.5 mm thick Ribbed sheet metal price including hinges and lock.</t>
  </si>
  <si>
    <t>Supply and fix 1200mm x 1200 mm metal frame 1.5 mm thick Ribbed sheet metal window price including hinges and lock</t>
  </si>
  <si>
    <t xml:space="preserve">Rendering to external cement concrete block wall including plastering of external smooth concrete wall and parfait HCB wall above roof cover. </t>
  </si>
  <si>
    <t>30mm cement screed for floor</t>
  </si>
  <si>
    <t>formwork-  For top beam -500m3</t>
  </si>
  <si>
    <t>Apply three coats of plaster in cement mortar to internal cement concrete block wall</t>
  </si>
  <si>
    <t>GS 4” pipe - for vent pipe -500m3</t>
  </si>
  <si>
    <t>GS  4” Tee - for vent pipe -500m3</t>
  </si>
  <si>
    <t>Non Income Work</t>
  </si>
  <si>
    <t>hard rock excavation of pipe trench for   road crossing</t>
  </si>
  <si>
    <t>ለ500ሜ.ኩ አርማታ ሙሌት ሚክስር ማዘጋጀት፣ጠጠር ለየሚክሰሩ ማስጠጋት መሰላል ማጠናከር</t>
  </si>
  <si>
    <t>Re excavation and back fill for valve chamber</t>
  </si>
  <si>
    <t xml:space="preserve"> ጠጠር ፣ድንጋይ እና አሽዋ የማጓጓዝ ስራ  ለvalve chamber , ለRiver crossing and for fence።</t>
  </si>
  <si>
    <t>500m3  አርማታ ስራ ቅድመ ዝግጅትና መሰላል ስራ</t>
  </si>
  <si>
    <t>ከ 500ሜ/ኩ ታንከር  ጣራ ፎርሞርክ እንጨት ማስገባት ስራ</t>
  </si>
  <si>
    <t>door fixing</t>
  </si>
  <si>
    <t>window fixing</t>
  </si>
  <si>
    <t>overlap  HDPE pipe  welding</t>
  </si>
  <si>
    <t>Form Work for Top Slab</t>
  </si>
  <si>
    <t>For ring beam</t>
  </si>
  <si>
    <t xml:space="preserve"> carpenter</t>
  </si>
  <si>
    <t>Trench excavation Depth up to 80cm and width up to 60cm.(By Labour)</t>
  </si>
  <si>
    <t>a. Soft rock     (by labour) ( contrat)</t>
  </si>
  <si>
    <t>b. Hard rock  (by labour) (contrat)</t>
  </si>
  <si>
    <t>Trench excavation Depth up to 80cm and width up to 60cm.(By Excavator)</t>
  </si>
  <si>
    <t>Ditto but item no 1.1 Trench excavation depth up to 80cm and width up to 60cm</t>
  </si>
  <si>
    <t>a. Soft rock     (by machine)</t>
  </si>
  <si>
    <t>b. Hard rock  (by machine)</t>
  </si>
  <si>
    <t>Bulk Excavation  for foundation to depth not exceeding 500mm</t>
  </si>
  <si>
    <t>Ditto as item 1.1 but in soft  rock</t>
  </si>
  <si>
    <t>PE100   PN10   OD63 HDPE -installation</t>
  </si>
  <si>
    <t>Back fill with  excavated soil  (By Labour)</t>
  </si>
  <si>
    <t>HDPE PE 100 PN 25OD 280 mm - installation</t>
  </si>
  <si>
    <t>Tractor ( material transportation)     sand,gravle &amp;cement</t>
  </si>
  <si>
    <t>ø 6 mm</t>
  </si>
  <si>
    <r>
      <rPr>
        <b/>
        <sz val="16"/>
        <color theme="1"/>
        <rFont val="Calibri"/>
        <family val="2"/>
        <scheme val="minor"/>
      </rPr>
      <t>Labor utilization</t>
    </r>
    <r>
      <rPr>
        <b/>
        <sz val="12"/>
        <color theme="1"/>
        <rFont val="Calibri"/>
        <family val="2"/>
        <scheme val="minor"/>
      </rPr>
      <t xml:space="preserve">    Hidar- 2018</t>
    </r>
  </si>
  <si>
    <t>h</t>
  </si>
  <si>
    <t>Fabricate and erect metallic project sign board for project identification including printing of the title and necessary project descriptions as per the engineer order or client interest</t>
  </si>
  <si>
    <t>Installation HDPE Butt Weld (mmxmm),PN10</t>
  </si>
  <si>
    <t>OD200*160</t>
  </si>
  <si>
    <t>OD160*125</t>
  </si>
  <si>
    <t>OD125*110</t>
  </si>
  <si>
    <t>OD110*90</t>
  </si>
  <si>
    <t>OD90*75</t>
  </si>
  <si>
    <t>OD110*40</t>
  </si>
  <si>
    <t>OD 75*40</t>
  </si>
  <si>
    <t>OD160mm</t>
  </si>
  <si>
    <t>HDPE PE100 Stub Flange Adaptors</t>
  </si>
  <si>
    <t>Butt welding -  OD63*63*63</t>
  </si>
  <si>
    <t>Installation HDPE PE100 PN Female adapter</t>
  </si>
  <si>
    <t>OD40*1 1/4"</t>
  </si>
  <si>
    <t>OD50*1 1/2"</t>
  </si>
  <si>
    <t>OD63*2"</t>
  </si>
  <si>
    <t>OD75*2 1/2"</t>
  </si>
  <si>
    <t xml:space="preserve"> Compression end plug - OD40mm</t>
  </si>
  <si>
    <t xml:space="preserve"> Compression end plug - OD50mm</t>
  </si>
  <si>
    <t>Installation  Flanged CI Gate Valves, PN10</t>
  </si>
  <si>
    <t>DN100mm</t>
  </si>
  <si>
    <t>DN150mm</t>
  </si>
  <si>
    <t>Installation  threaded GI Gate Valves, PN10</t>
  </si>
  <si>
    <t>Threaded Gate valve DN11/4"</t>
  </si>
  <si>
    <t>Threaded Gate valve DN21/2"</t>
  </si>
  <si>
    <t>Concrete Work</t>
  </si>
  <si>
    <t>For Roof Slab</t>
  </si>
  <si>
    <t>15cm thick C-30 reinforced concrete in top slab</t>
  </si>
  <si>
    <t>Swan Zigba form work for slab foundation</t>
  </si>
  <si>
    <t>Ditto but top slab</t>
  </si>
  <si>
    <t>Ditto but top tie beam</t>
  </si>
  <si>
    <t>6mm Dai.bar for ring beam</t>
  </si>
  <si>
    <t>12mm dai. RC bar for roof slab</t>
  </si>
  <si>
    <t>10mm dai. RC bar for bottom slab and ring beam</t>
  </si>
  <si>
    <t>DN100mm GS double flanged pipe L=1.5 m at centeral puddled</t>
  </si>
  <si>
    <t>GS 2 1/2'' L=1.5m Threaded pipe with Puddle.</t>
  </si>
  <si>
    <t>GS 2'' L=1.5m Threaded pipe with Puddle.</t>
  </si>
  <si>
    <t>GS 3” pipe - vent pipe</t>
  </si>
  <si>
    <t>30mm screed for top slab with 1:2 cement sand mix</t>
  </si>
  <si>
    <r>
      <rPr>
        <sz val="12"/>
        <color rgb="FFFF0000"/>
        <rFont val="Times New Roman"/>
        <family val="1"/>
      </rPr>
      <t xml:space="preserve">Applying 12mm thick </t>
    </r>
    <r>
      <rPr>
        <sz val="12"/>
        <color theme="1"/>
        <rFont val="Times New Roman"/>
        <family val="1"/>
      </rPr>
      <t>3- coats of plastering of internal masonary wall of the collection chamber with 1:2 cement sand mix</t>
    </r>
  </si>
  <si>
    <t>Pointing work for exposed External wallb1:2 Cement Mortar</t>
  </si>
  <si>
    <t>Supply and installation of 2'' GS pipe ladder with 3.15m height and horizontal member 1'' GS pipe with 40cm c/c and 1m height and 0.30m handle above top slab for external part as shown the drawing and hooked to base and roof slabs.</t>
  </si>
  <si>
    <t>Supply and erect 50mm*50mm*3mm angle iron stands with c/c spaced at 150cm to a height of 2.3m above ground level with 7 lines of barbed wire mesh of 200mm and 400mm spacing,  the bottom 5 and upper 2 lines,   respectively with cross diagonal &amp; to a depth of 60cm embedded in concrete foundation of 300mm*300mm</t>
  </si>
  <si>
    <t>Construct 1500mmx2000mm size gate with   metal frame and rectangular hollow tube RHS 80mm*80mm with 3 mm thickness including sheet metal having three coats of antirust painting including hinges and lock.</t>
  </si>
  <si>
    <t>Provide and fix wire mesh for ventilation</t>
  </si>
  <si>
    <t>Bulk excavation for foundation to a depth not exceeding 500mm</t>
  </si>
  <si>
    <t>Supply and place 250mm thick (equivalent to hard basaltic stone) hardcore blinded with crushed aggregate</t>
  </si>
  <si>
    <t>Clearing, grubbing and romoving of top soil up to 20cm</t>
  </si>
  <si>
    <t>Bulk excavation in ordinary soil to a depth not greater than 1.5m</t>
  </si>
  <si>
    <t>Supply and place 250 mm thick hard trachyte stone hard core</t>
  </si>
  <si>
    <t>7cm mm thick C10 lean concrete under the cattle trough</t>
  </si>
  <si>
    <t>Supply and raise 350 mm high C20 concrete side walls above the ground level extended for 400 mm below the ground level as shown in the drawing</t>
  </si>
  <si>
    <t>Diam. 8 mm</t>
  </si>
  <si>
    <t xml:space="preserve">supply and fix in position sawn formwork </t>
  </si>
  <si>
    <t>1.2mx1.2m masonry Valve chamber construction as shown in the drawing</t>
  </si>
  <si>
    <t>30mm thick sand and cement floor screed</t>
  </si>
  <si>
    <t>Supply and erect 1500x2100mm gate of RHS 2.5 frame and 2mm metal sheet, complete with hinges and lock</t>
  </si>
  <si>
    <t xml:space="preserve">Top tie beams </t>
  </si>
  <si>
    <t xml:space="preserve">Column </t>
  </si>
  <si>
    <t xml:space="preserve"> ø 10 mm</t>
  </si>
  <si>
    <t xml:space="preserve"> ø 6 mm</t>
  </si>
  <si>
    <t xml:space="preserve">20 cm thick HCB "class C" bedded in cement mortar with (1:3) ratio. </t>
  </si>
  <si>
    <t xml:space="preserve"> Lower &amp; upper chord 120mm dia </t>
  </si>
  <si>
    <t xml:space="preserve">Diagonals and verticals 80mm dia </t>
  </si>
  <si>
    <t xml:space="preserve">GS 4'' Union </t>
  </si>
  <si>
    <t>HDPE OD50 mm Female adaptor, PN10</t>
  </si>
  <si>
    <t>4'' GS Medium Class Pipe</t>
  </si>
  <si>
    <t>GI union DN 100 PN16</t>
  </si>
  <si>
    <t>OD 90 PN10</t>
  </si>
  <si>
    <t>DN100mm CI Flanged Dismantling Joint, PN10</t>
  </si>
  <si>
    <t>HDPE Butweld OD180mm90 degree elbow</t>
  </si>
  <si>
    <t>HDPE OD90 mm Stub Flange Adaptor with back ring, with nuts and bolts.</t>
  </si>
  <si>
    <t>Stone dressing</t>
  </si>
  <si>
    <t xml:space="preserve"> ጠጠር ፣ድንጋይ እና አሽዋ የማጓጓዝ ስራ  ለchlorine house, water point, cattle trouph and 25m3 slab concrete work</t>
  </si>
  <si>
    <t>for chlorin house HCB moblization</t>
  </si>
  <si>
    <t>valv chamber cover fixiing</t>
  </si>
  <si>
    <t xml:space="preserve"> OD40mm pipe</t>
  </si>
  <si>
    <t>OD63mm  pipe</t>
  </si>
  <si>
    <t xml:space="preserve">OD 75*40 </t>
  </si>
  <si>
    <t xml:space="preserve">production of valv chamber cover by 3mm sheet metal </t>
  </si>
  <si>
    <t>Class K9 DCI DN250mm pipe</t>
  </si>
  <si>
    <t xml:space="preserve"> ø 12 mm</t>
  </si>
  <si>
    <t>HDPE PE 100 PN 25OD 280 mm</t>
  </si>
  <si>
    <t>Re-excavation work</t>
  </si>
  <si>
    <t>a. Soft rock     (by labour) ( not contrat work)</t>
  </si>
  <si>
    <t>b. Hard rock  (by labour) (not contrat work)</t>
  </si>
  <si>
    <t>form work dismantling ( )</t>
  </si>
  <si>
    <t>C-20 Concrete</t>
  </si>
  <si>
    <t>Tahsas /2018 Labor utilization</t>
  </si>
  <si>
    <t>Material utilization</t>
  </si>
  <si>
    <t>Tahsas/2018</t>
  </si>
  <si>
    <t>Tir /2018 Labor utilization</t>
  </si>
  <si>
    <t>Tir/2018</t>
  </si>
  <si>
    <t>Supply and erect fence of  40mm*40mm*3mm angle iron stands c/c spaced at 100cm to a height of 2m above ground level with 6 lines of barbed wire 200mm and 400mm spacing the bottom 4 and upper 2 lines, respectively with cross diagonal &amp; to a depth of 50cm embedded in concrete foundation of 200mm*200mm.</t>
  </si>
  <si>
    <t>Ø 12mm</t>
  </si>
  <si>
    <t>Sawn Zigba form work</t>
  </si>
  <si>
    <t>curing work</t>
  </si>
  <si>
    <t>C-20 concrete</t>
  </si>
  <si>
    <t>Barebender</t>
  </si>
  <si>
    <t>Re-fill and properly compaction of the excavated material with native Soil for all excavated depth</t>
  </si>
  <si>
    <t>OD63mm pipe installation</t>
  </si>
  <si>
    <t>OD40mm compression end plug</t>
  </si>
  <si>
    <t>3cm thick Cement scread for base and roof slab at the top</t>
  </si>
  <si>
    <t>Supply and erect 50mm*50mm*3mm angle iron stands with c/c spaced at 150cm to a height of 2.3m above ground level with 7 lines of barbed wire of 2.5mm thick, 200mm and 400mm spacing,  the bottom 5 and upper 2 lines,   respectively with cross diagonal &amp; to a depth of 60cm embedded in concrete foundation of 300mm*300mm</t>
  </si>
  <si>
    <t>Three coats of plastering to internal walls of manhole, using 1:3 mortar</t>
  </si>
  <si>
    <t>Pointing stone masonry wall of water point with rich mortar</t>
  </si>
  <si>
    <t>Supply &amp; fix 3mm thick sheet metal 80cmX80cm access cover with 40X40mm angle iron frame latch and lock for reservoir manhole</t>
  </si>
  <si>
    <t>Supply and erect 50mm*50mm*3mm angle iron stands with c/c spaced at 200cm to a height of 2.1m above ground level with 10lines of barbed wiremesh with cross diagonal &amp; to a depth of 70cm embedded in concrete foundation of 300mm*150mm</t>
  </si>
  <si>
    <t>Form work Dismantling at 500m3</t>
  </si>
  <si>
    <t>Re excavation and back fill for over lap</t>
  </si>
  <si>
    <t>Chizling at 500m3, 100m3 and existing water point</t>
  </si>
  <si>
    <t>formork dismantling for  25 m3 reservoier</t>
  </si>
  <si>
    <t>Trench excavation in ordinary soil for pipe line to a depth of 0.9m   and a width of 60cm and disposal of surplus excavated material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</si>
</sst>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0.00;[Red]0.00"/>
    <numFmt numFmtId="165" formatCode="0.0"/>
    <numFmt numFmtId="166" formatCode="_(* #,##0_);_(* \(#,##0\);_(* &quot;-&quot;??_);_(@_)"/>
    <numFmt numFmtId="167" formatCode="_(* #,##0.0_);_(* \(#,##0.0\);_(* &quot;-&quot;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 tint="0.1499984740745262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 tint="0.14999847407452621"/>
      <name val="Times New Roman"/>
      <family val="1"/>
    </font>
    <font>
      <sz val="11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Bookman Old Style"/>
      <family val="1"/>
    </font>
    <font>
      <b/>
      <sz val="11"/>
      <color rgb="FF000000"/>
      <name val="Bookman Old Style"/>
      <family val="1"/>
    </font>
    <font>
      <b/>
      <sz val="12"/>
      <color rgb="FF000000"/>
      <name val="Cambria"/>
      <family val="2"/>
      <scheme val="major"/>
    </font>
    <font>
      <sz val="12"/>
      <color rgb="FF000000"/>
      <name val="Cambria"/>
      <family val="2"/>
      <scheme val="major"/>
    </font>
    <font>
      <b/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2"/>
      <color rgb="FFFF0000"/>
      <name val="Times New Roman"/>
      <family val="1"/>
    </font>
    <font>
      <sz val="10"/>
      <name val="Sylfaen"/>
      <family val="1"/>
    </font>
    <font>
      <sz val="12"/>
      <name val="Trebuchet MS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auto="1"/>
      </top>
      <bottom/>
      <diagonal/>
    </border>
    <border>
      <left style="double">
        <color rgb="FFFF0066"/>
      </left>
      <right style="thin">
        <color rgb="FFFF0066"/>
      </right>
      <top style="thin">
        <color rgb="FFFF0066"/>
      </top>
      <bottom style="thin">
        <color rgb="FFFF0066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28">
    <xf numFmtId="0" fontId="0" fillId="0" borderId="0" xfId="0"/>
    <xf numFmtId="0" fontId="3" fillId="0" borderId="0" xfId="0" applyFont="1"/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3" fillId="0" borderId="8" xfId="0" applyFont="1" applyBorder="1"/>
    <xf numFmtId="0" fontId="3" fillId="0" borderId="8" xfId="0" applyFont="1" applyBorder="1" applyAlignment="1">
      <alignment wrapText="1"/>
    </xf>
    <xf numFmtId="164" fontId="3" fillId="0" borderId="8" xfId="0" applyNumberFormat="1" applyFont="1" applyBorder="1"/>
    <xf numFmtId="0" fontId="3" fillId="0" borderId="9" xfId="0" applyFont="1" applyBorder="1"/>
    <xf numFmtId="0" fontId="5" fillId="0" borderId="17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center" vertical="top" wrapText="1"/>
    </xf>
    <xf numFmtId="43" fontId="3" fillId="0" borderId="17" xfId="1" applyFont="1" applyBorder="1"/>
    <xf numFmtId="10" fontId="3" fillId="0" borderId="17" xfId="2" applyNumberFormat="1" applyFont="1" applyBorder="1"/>
    <xf numFmtId="164" fontId="3" fillId="0" borderId="17" xfId="2" applyNumberFormat="1" applyFont="1" applyBorder="1"/>
    <xf numFmtId="43" fontId="3" fillId="0" borderId="18" xfId="1" applyFont="1" applyBorder="1"/>
    <xf numFmtId="0" fontId="6" fillId="0" borderId="17" xfId="0" applyFont="1" applyBorder="1" applyAlignment="1">
      <alignment horizontal="left" vertical="top" wrapText="1"/>
    </xf>
    <xf numFmtId="0" fontId="3" fillId="0" borderId="0" xfId="0" applyFont="1" applyAlignment="1">
      <alignment wrapText="1"/>
    </xf>
    <xf numFmtId="0" fontId="3" fillId="4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left" vertical="top" wrapText="1"/>
    </xf>
    <xf numFmtId="0" fontId="5" fillId="5" borderId="17" xfId="0" applyFont="1" applyFill="1" applyBorder="1" applyAlignment="1">
      <alignment horizontal="center" vertical="top" wrapText="1"/>
    </xf>
    <xf numFmtId="43" fontId="3" fillId="5" borderId="17" xfId="1" applyFont="1" applyFill="1" applyBorder="1"/>
    <xf numFmtId="10" fontId="3" fillId="5" borderId="17" xfId="2" applyNumberFormat="1" applyFont="1" applyFill="1" applyBorder="1"/>
    <xf numFmtId="10" fontId="3" fillId="5" borderId="18" xfId="2" applyNumberFormat="1" applyFont="1" applyFill="1" applyBorder="1"/>
    <xf numFmtId="0" fontId="3" fillId="4" borderId="0" xfId="0" applyFont="1" applyFill="1"/>
    <xf numFmtId="0" fontId="3" fillId="4" borderId="0" xfId="0" applyFont="1" applyFill="1" applyAlignment="1">
      <alignment wrapText="1"/>
    </xf>
    <xf numFmtId="0" fontId="3" fillId="0" borderId="17" xfId="0" applyFont="1" applyBorder="1" applyAlignment="1">
      <alignment wrapText="1"/>
    </xf>
    <xf numFmtId="0" fontId="8" fillId="0" borderId="17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7" xfId="0" applyFont="1" applyBorder="1" applyAlignment="1">
      <alignment vertical="top" wrapText="1"/>
    </xf>
    <xf numFmtId="0" fontId="9" fillId="4" borderId="17" xfId="3" applyFont="1" applyFill="1" applyBorder="1" applyAlignment="1">
      <alignment horizontal="left" vertical="top" wrapText="1"/>
    </xf>
    <xf numFmtId="0" fontId="7" fillId="0" borderId="17" xfId="0" applyFont="1" applyBorder="1" applyAlignment="1">
      <alignment horizontal="left" vertical="center" wrapText="1"/>
    </xf>
    <xf numFmtId="0" fontId="10" fillId="4" borderId="17" xfId="1" applyNumberFormat="1" applyFont="1" applyFill="1" applyBorder="1" applyAlignment="1">
      <alignment horizontal="left" vertical="center" wrapText="1"/>
    </xf>
    <xf numFmtId="43" fontId="6" fillId="0" borderId="17" xfId="1" applyFont="1" applyBorder="1" applyAlignment="1">
      <alignment horizontal="left" vertical="top" wrapText="1"/>
    </xf>
    <xf numFmtId="43" fontId="8" fillId="0" borderId="17" xfId="1" applyFont="1" applyBorder="1" applyAlignment="1">
      <alignment horizontal="left" vertical="top" wrapText="1"/>
    </xf>
    <xf numFmtId="43" fontId="3" fillId="0" borderId="16" xfId="1" applyFont="1" applyBorder="1" applyAlignment="1">
      <alignment wrapText="1"/>
    </xf>
    <xf numFmtId="0" fontId="3" fillId="6" borderId="17" xfId="0" applyFont="1" applyFill="1" applyBorder="1" applyAlignment="1">
      <alignment wrapText="1"/>
    </xf>
    <xf numFmtId="43" fontId="3" fillId="6" borderId="17" xfId="1" applyFont="1" applyFill="1" applyBorder="1"/>
    <xf numFmtId="164" fontId="3" fillId="6" borderId="17" xfId="2" applyNumberFormat="1" applyFont="1" applyFill="1" applyBorder="1"/>
    <xf numFmtId="10" fontId="3" fillId="6" borderId="17" xfId="2" applyNumberFormat="1" applyFont="1" applyFill="1" applyBorder="1"/>
    <xf numFmtId="43" fontId="3" fillId="6" borderId="18" xfId="1" applyFont="1" applyFill="1" applyBorder="1"/>
    <xf numFmtId="0" fontId="3" fillId="4" borderId="17" xfId="0" applyFont="1" applyFill="1" applyBorder="1" applyAlignment="1">
      <alignment wrapText="1"/>
    </xf>
    <xf numFmtId="0" fontId="3" fillId="0" borderId="14" xfId="0" applyFont="1" applyBorder="1" applyAlignment="1">
      <alignment horizontal="center" vertical="center"/>
    </xf>
    <xf numFmtId="0" fontId="3" fillId="0" borderId="19" xfId="0" applyFont="1" applyBorder="1"/>
    <xf numFmtId="0" fontId="3" fillId="0" borderId="17" xfId="0" applyFont="1" applyBorder="1"/>
    <xf numFmtId="0" fontId="3" fillId="6" borderId="19" xfId="0" applyFont="1" applyFill="1" applyBorder="1"/>
    <xf numFmtId="0" fontId="3" fillId="6" borderId="17" xfId="0" applyFont="1" applyFill="1" applyBorder="1"/>
    <xf numFmtId="10" fontId="3" fillId="6" borderId="18" xfId="2" applyNumberFormat="1" applyFont="1" applyFill="1" applyBorder="1"/>
    <xf numFmtId="0" fontId="3" fillId="4" borderId="19" xfId="0" applyFont="1" applyFill="1" applyBorder="1"/>
    <xf numFmtId="0" fontId="3" fillId="4" borderId="15" xfId="0" applyFont="1" applyFill="1" applyBorder="1"/>
    <xf numFmtId="0" fontId="3" fillId="6" borderId="16" xfId="0" applyFont="1" applyFill="1" applyBorder="1"/>
    <xf numFmtId="43" fontId="3" fillId="6" borderId="16" xfId="1" applyFont="1" applyFill="1" applyBorder="1"/>
    <xf numFmtId="43" fontId="3" fillId="6" borderId="20" xfId="1" applyFont="1" applyFill="1" applyBorder="1"/>
    <xf numFmtId="0" fontId="3" fillId="4" borderId="16" xfId="0" applyFont="1" applyFill="1" applyBorder="1" applyAlignment="1">
      <alignment wrapText="1"/>
    </xf>
    <xf numFmtId="0" fontId="3" fillId="0" borderId="15" xfId="0" applyFont="1" applyBorder="1"/>
    <xf numFmtId="0" fontId="3" fillId="0" borderId="16" xfId="0" applyFont="1" applyBorder="1" applyAlignment="1">
      <alignment wrapText="1"/>
    </xf>
    <xf numFmtId="0" fontId="11" fillId="0" borderId="0" xfId="0" applyFont="1"/>
    <xf numFmtId="0" fontId="6" fillId="7" borderId="17" xfId="0" applyFont="1" applyFill="1" applyBorder="1" applyAlignment="1">
      <alignment vertical="top" wrapText="1"/>
    </xf>
    <xf numFmtId="0" fontId="7" fillId="0" borderId="1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lef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/>
    <xf numFmtId="0" fontId="3" fillId="0" borderId="8" xfId="0" applyFont="1" applyBorder="1" applyAlignment="1">
      <alignment vertical="center"/>
    </xf>
    <xf numFmtId="43" fontId="12" fillId="0" borderId="16" xfId="1" applyFont="1" applyBorder="1" applyAlignment="1">
      <alignment wrapText="1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5" fontId="3" fillId="0" borderId="8" xfId="0" applyNumberFormat="1" applyFont="1" applyBorder="1"/>
    <xf numFmtId="9" fontId="3" fillId="0" borderId="17" xfId="2" applyNumberFormat="1" applyFont="1" applyBorder="1"/>
    <xf numFmtId="0" fontId="7" fillId="0" borderId="8" xfId="0" applyFont="1" applyBorder="1"/>
    <xf numFmtId="2" fontId="7" fillId="0" borderId="8" xfId="0" applyNumberFormat="1" applyFont="1" applyBorder="1"/>
    <xf numFmtId="164" fontId="7" fillId="0" borderId="8" xfId="0" applyNumberFormat="1" applyFont="1" applyBorder="1"/>
    <xf numFmtId="0" fontId="7" fillId="0" borderId="9" xfId="0" applyFont="1" applyBorder="1"/>
    <xf numFmtId="43" fontId="7" fillId="0" borderId="17" xfId="1" applyFont="1" applyBorder="1"/>
    <xf numFmtId="10" fontId="7" fillId="0" borderId="17" xfId="2" applyNumberFormat="1" applyFont="1" applyBorder="1"/>
    <xf numFmtId="164" fontId="7" fillId="0" borderId="17" xfId="2" applyNumberFormat="1" applyFont="1" applyBorder="1"/>
    <xf numFmtId="43" fontId="7" fillId="0" borderId="18" xfId="1" applyFont="1" applyBorder="1"/>
    <xf numFmtId="0" fontId="7" fillId="5" borderId="7" xfId="0" applyFont="1" applyFill="1" applyBorder="1" applyAlignment="1">
      <alignment horizontal="center" vertical="center"/>
    </xf>
    <xf numFmtId="43" fontId="7" fillId="5" borderId="17" xfId="1" applyFont="1" applyFill="1" applyBorder="1"/>
    <xf numFmtId="10" fontId="7" fillId="5" borderId="17" xfId="2" applyNumberFormat="1" applyFont="1" applyFill="1" applyBorder="1"/>
    <xf numFmtId="10" fontId="7" fillId="5" borderId="18" xfId="2" applyNumberFormat="1" applyFont="1" applyFill="1" applyBorder="1"/>
    <xf numFmtId="10" fontId="7" fillId="0" borderId="18" xfId="2" applyNumberFormat="1" applyFont="1" applyBorder="1"/>
    <xf numFmtId="2" fontId="7" fillId="0" borderId="17" xfId="2" applyNumberFormat="1" applyFont="1" applyBorder="1"/>
    <xf numFmtId="0" fontId="7" fillId="6" borderId="17" xfId="0" applyFont="1" applyFill="1" applyBorder="1" applyAlignment="1">
      <alignment wrapText="1"/>
    </xf>
    <xf numFmtId="43" fontId="7" fillId="6" borderId="17" xfId="1" applyFont="1" applyFill="1" applyBorder="1"/>
    <xf numFmtId="164" fontId="7" fillId="6" borderId="17" xfId="2" applyNumberFormat="1" applyFont="1" applyFill="1" applyBorder="1"/>
    <xf numFmtId="10" fontId="7" fillId="6" borderId="17" xfId="2" applyNumberFormat="1" applyFont="1" applyFill="1" applyBorder="1"/>
    <xf numFmtId="43" fontId="7" fillId="6" borderId="18" xfId="1" applyFont="1" applyFill="1" applyBorder="1"/>
    <xf numFmtId="0" fontId="7" fillId="0" borderId="7" xfId="0" applyFont="1" applyBorder="1" applyAlignment="1"/>
    <xf numFmtId="0" fontId="7" fillId="6" borderId="17" xfId="0" applyFont="1" applyFill="1" applyBorder="1"/>
    <xf numFmtId="10" fontId="7" fillId="6" borderId="18" xfId="2" applyNumberFormat="1" applyFont="1" applyFill="1" applyBorder="1"/>
    <xf numFmtId="43" fontId="7" fillId="0" borderId="16" xfId="1" applyFont="1" applyBorder="1"/>
    <xf numFmtId="43" fontId="7" fillId="0" borderId="20" xfId="1" applyFont="1" applyBorder="1"/>
    <xf numFmtId="0" fontId="7" fillId="6" borderId="16" xfId="0" applyFont="1" applyFill="1" applyBorder="1"/>
    <xf numFmtId="43" fontId="7" fillId="6" borderId="16" xfId="1" applyFont="1" applyFill="1" applyBorder="1"/>
    <xf numFmtId="43" fontId="7" fillId="6" borderId="20" xfId="1" applyFont="1" applyFill="1" applyBorder="1"/>
    <xf numFmtId="0" fontId="3" fillId="0" borderId="6" xfId="0" applyFont="1" applyBorder="1"/>
    <xf numFmtId="0" fontId="3" fillId="0" borderId="1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43" fontId="15" fillId="4" borderId="22" xfId="0" applyNumberFormat="1" applyFont="1" applyFill="1" applyBorder="1" applyAlignment="1">
      <alignment horizontal="left"/>
    </xf>
    <xf numFmtId="0" fontId="6" fillId="0" borderId="17" xfId="0" applyFont="1" applyBorder="1" applyAlignment="1">
      <alignment vertical="center" wrapText="1"/>
    </xf>
    <xf numFmtId="0" fontId="5" fillId="0" borderId="17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top" wrapText="1"/>
    </xf>
    <xf numFmtId="0" fontId="3" fillId="6" borderId="17" xfId="3" applyFont="1" applyFill="1" applyBorder="1" applyAlignment="1">
      <alignment horizontal="left" vertical="top" wrapText="1"/>
    </xf>
    <xf numFmtId="0" fontId="16" fillId="0" borderId="17" xfId="0" applyFont="1" applyBorder="1" applyAlignment="1">
      <alignment horizontal="left" wrapText="1"/>
    </xf>
    <xf numFmtId="0" fontId="17" fillId="0" borderId="17" xfId="0" applyFont="1" applyBorder="1" applyAlignment="1">
      <alignment horizontal="left" vertical="top" wrapText="1"/>
    </xf>
    <xf numFmtId="0" fontId="18" fillId="0" borderId="17" xfId="0" applyFont="1" applyBorder="1" applyAlignment="1">
      <alignment horizontal="left" vertical="top" wrapText="1"/>
    </xf>
    <xf numFmtId="0" fontId="5" fillId="4" borderId="17" xfId="0" applyFont="1" applyFill="1" applyBorder="1" applyAlignment="1">
      <alignment horizontal="left" vertical="center" wrapText="1"/>
    </xf>
    <xf numFmtId="43" fontId="7" fillId="4" borderId="17" xfId="1" applyFont="1" applyFill="1" applyBorder="1"/>
    <xf numFmtId="10" fontId="7" fillId="4" borderId="17" xfId="2" applyNumberFormat="1" applyFont="1" applyFill="1" applyBorder="1"/>
    <xf numFmtId="43" fontId="7" fillId="4" borderId="18" xfId="1" applyFont="1" applyFill="1" applyBorder="1"/>
    <xf numFmtId="0" fontId="6" fillId="0" borderId="17" xfId="0" applyFont="1" applyBorder="1" applyAlignment="1">
      <alignment vertical="top" wrapText="1"/>
    </xf>
    <xf numFmtId="0" fontId="6" fillId="7" borderId="17" xfId="0" applyFont="1" applyFill="1" applyBorder="1" applyAlignment="1">
      <alignment horizontal="justify" vertical="top" wrapText="1"/>
    </xf>
    <xf numFmtId="0" fontId="0" fillId="0" borderId="17" xfId="0" applyBorder="1" applyAlignment="1">
      <alignment wrapText="1"/>
    </xf>
    <xf numFmtId="166" fontId="7" fillId="0" borderId="17" xfId="1" applyNumberFormat="1" applyFont="1" applyBorder="1"/>
    <xf numFmtId="166" fontId="7" fillId="6" borderId="17" xfId="1" applyNumberFormat="1" applyFont="1" applyFill="1" applyBorder="1"/>
    <xf numFmtId="166" fontId="7" fillId="4" borderId="17" xfId="1" applyNumberFormat="1" applyFont="1" applyFill="1" applyBorder="1"/>
    <xf numFmtId="43" fontId="19" fillId="0" borderId="17" xfId="1" applyFont="1" applyBorder="1" applyAlignment="1">
      <alignment horizontal="left" vertical="top" wrapText="1"/>
    </xf>
    <xf numFmtId="43" fontId="20" fillId="0" borderId="17" xfId="1" applyFont="1" applyBorder="1" applyAlignment="1">
      <alignment horizontal="left" vertical="top" wrapText="1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3" fontId="7" fillId="0" borderId="16" xfId="1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0" borderId="7" xfId="0" applyFont="1" applyBorder="1" applyAlignment="1"/>
    <xf numFmtId="0" fontId="3" fillId="4" borderId="7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top" wrapText="1"/>
    </xf>
    <xf numFmtId="43" fontId="3" fillId="4" borderId="17" xfId="1" applyFont="1" applyFill="1" applyBorder="1"/>
    <xf numFmtId="10" fontId="3" fillId="4" borderId="17" xfId="2" applyNumberFormat="1" applyFont="1" applyFill="1" applyBorder="1"/>
    <xf numFmtId="10" fontId="3" fillId="4" borderId="18" xfId="2" applyNumberFormat="1" applyFont="1" applyFill="1" applyBorder="1"/>
    <xf numFmtId="0" fontId="0" fillId="4" borderId="0" xfId="0" applyFill="1"/>
    <xf numFmtId="0" fontId="3" fillId="4" borderId="14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vertical="center"/>
    </xf>
    <xf numFmtId="164" fontId="3" fillId="4" borderId="17" xfId="2" applyNumberFormat="1" applyFont="1" applyFill="1" applyBorder="1"/>
    <xf numFmtId="43" fontId="3" fillId="4" borderId="18" xfId="1" applyFont="1" applyFill="1" applyBorder="1"/>
    <xf numFmtId="0" fontId="3" fillId="0" borderId="1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2" fontId="21" fillId="0" borderId="17" xfId="1" applyNumberFormat="1" applyFont="1" applyBorder="1" applyAlignment="1">
      <alignment horizontal="left" vertical="center" wrapText="1"/>
    </xf>
    <xf numFmtId="0" fontId="17" fillId="4" borderId="17" xfId="3" applyFont="1" applyFill="1" applyBorder="1" applyAlignment="1">
      <alignment horizontal="left" vertical="top" wrapText="1"/>
    </xf>
    <xf numFmtId="2" fontId="3" fillId="4" borderId="8" xfId="0" applyNumberFormat="1" applyFont="1" applyFill="1" applyBorder="1"/>
    <xf numFmtId="43" fontId="12" fillId="6" borderId="16" xfId="1" applyFont="1" applyFill="1" applyBorder="1" applyAlignment="1">
      <alignment wrapText="1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13" fillId="0" borderId="0" xfId="0" applyFont="1"/>
    <xf numFmtId="0" fontId="3" fillId="4" borderId="17" xfId="3" applyFont="1" applyFill="1" applyBorder="1" applyAlignment="1">
      <alignment horizontal="left" vertical="top" wrapText="1"/>
    </xf>
    <xf numFmtId="0" fontId="22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6" fillId="7" borderId="17" xfId="0" applyFont="1" applyFill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/>
    </xf>
    <xf numFmtId="167" fontId="7" fillId="4" borderId="17" xfId="1" applyNumberFormat="1" applyFont="1" applyFill="1" applyBorder="1"/>
    <xf numFmtId="43" fontId="7" fillId="4" borderId="17" xfId="1" applyNumberFormat="1" applyFont="1" applyFill="1" applyBorder="1"/>
    <xf numFmtId="43" fontId="7" fillId="0" borderId="17" xfId="1" applyNumberFormat="1" applyFont="1" applyBorder="1"/>
    <xf numFmtId="0" fontId="16" fillId="0" borderId="17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4" fillId="4" borderId="17" xfId="1" applyNumberFormat="1" applyFont="1" applyFill="1" applyBorder="1" applyAlignment="1">
      <alignment horizontal="left" vertical="center" wrapText="1"/>
    </xf>
    <xf numFmtId="0" fontId="6" fillId="4" borderId="17" xfId="3" applyFont="1" applyFill="1" applyBorder="1" applyAlignment="1">
      <alignment horizontal="left" vertical="center" wrapText="1"/>
    </xf>
    <xf numFmtId="43" fontId="12" fillId="0" borderId="17" xfId="1" applyFont="1" applyBorder="1" applyAlignment="1">
      <alignment wrapText="1"/>
    </xf>
    <xf numFmtId="0" fontId="3" fillId="6" borderId="14" xfId="0" applyFont="1" applyFill="1" applyBorder="1" applyAlignment="1">
      <alignment horizontal="center" vertical="center"/>
    </xf>
    <xf numFmtId="43" fontId="20" fillId="6" borderId="17" xfId="1" applyFont="1" applyFill="1" applyBorder="1" applyAlignment="1">
      <alignment horizontal="left" vertical="top" wrapText="1"/>
    </xf>
    <xf numFmtId="0" fontId="3" fillId="6" borderId="0" xfId="0" applyFont="1" applyFill="1"/>
    <xf numFmtId="0" fontId="0" fillId="6" borderId="0" xfId="0" applyFill="1"/>
    <xf numFmtId="0" fontId="5" fillId="4" borderId="17" xfId="0" applyFont="1" applyFill="1" applyBorder="1" applyAlignment="1">
      <alignment horizontal="left" vertical="top" wrapText="1"/>
    </xf>
    <xf numFmtId="0" fontId="3" fillId="0" borderId="14" xfId="0" applyFont="1" applyBorder="1" applyAlignment="1">
      <alignment horizontal="center" vertical="center"/>
    </xf>
    <xf numFmtId="0" fontId="16" fillId="4" borderId="17" xfId="0" applyFont="1" applyFill="1" applyBorder="1" applyAlignment="1">
      <alignment horizontal="left" vertical="top" wrapText="1"/>
    </xf>
    <xf numFmtId="0" fontId="3" fillId="4" borderId="17" xfId="0" applyFont="1" applyFill="1" applyBorder="1" applyAlignment="1">
      <alignment horizontal="left" vertical="top" wrapText="1"/>
    </xf>
    <xf numFmtId="0" fontId="6" fillId="4" borderId="17" xfId="0" applyFont="1" applyFill="1" applyBorder="1" applyAlignment="1">
      <alignment vertical="center" wrapText="1"/>
    </xf>
    <xf numFmtId="0" fontId="6" fillId="7" borderId="16" xfId="0" applyFont="1" applyFill="1" applyBorder="1" applyAlignment="1">
      <alignment horizontal="justify" vertical="top" wrapText="1"/>
    </xf>
    <xf numFmtId="43" fontId="25" fillId="0" borderId="24" xfId="1" applyFont="1" applyFill="1" applyBorder="1" applyAlignment="1"/>
    <xf numFmtId="2" fontId="21" fillId="6" borderId="17" xfId="1" applyNumberFormat="1" applyFont="1" applyFill="1" applyBorder="1" applyAlignment="1">
      <alignment horizontal="left" vertical="center" wrapText="1"/>
    </xf>
    <xf numFmtId="2" fontId="21" fillId="4" borderId="17" xfId="1" applyNumberFormat="1" applyFont="1" applyFill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6" fillId="0" borderId="0" xfId="0" applyFont="1"/>
    <xf numFmtId="2" fontId="27" fillId="0" borderId="17" xfId="1" applyNumberFormat="1" applyFont="1" applyBorder="1" applyAlignment="1">
      <alignment horizontal="left" vertical="center" wrapText="1"/>
    </xf>
    <xf numFmtId="2" fontId="21" fillId="8" borderId="17" xfId="1" applyNumberFormat="1" applyFont="1" applyFill="1" applyBorder="1" applyAlignment="1">
      <alignment horizontal="left" vertical="center" wrapText="1"/>
    </xf>
    <xf numFmtId="43" fontId="9" fillId="0" borderId="17" xfId="1" applyFont="1" applyBorder="1"/>
    <xf numFmtId="43" fontId="2" fillId="0" borderId="17" xfId="1" applyFont="1" applyBorder="1"/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4" fillId="0" borderId="2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6" fillId="0" borderId="17" xfId="0" applyFont="1" applyBorder="1" applyAlignment="1">
      <alignment horizontal="right" vertical="top" wrapText="1"/>
    </xf>
  </cellXfs>
  <cellStyles count="4">
    <cellStyle name="Comma" xfId="1" builtinId="3"/>
    <cellStyle name="Normal" xfId="0" builtinId="0"/>
    <cellStyle name="Normal 141 2" xfId="3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0"/>
  <sheetViews>
    <sheetView workbookViewId="0">
      <selection sqref="A1:XFD1048576"/>
    </sheetView>
  </sheetViews>
  <sheetFormatPr defaultRowHeight="15"/>
  <cols>
    <col min="1" max="1" width="6" customWidth="1"/>
    <col min="2" max="2" width="12" customWidth="1"/>
    <col min="3" max="3" width="42.5703125" customWidth="1"/>
    <col min="4" max="4" width="8.5703125" customWidth="1"/>
    <col min="5" max="5" width="15.5703125" bestFit="1" customWidth="1"/>
    <col min="6" max="6" width="10.28515625" customWidth="1"/>
    <col min="7" max="8" width="14.7109375" bestFit="1" customWidth="1"/>
    <col min="9" max="9" width="15" bestFit="1" customWidth="1"/>
    <col min="10" max="11" width="14.7109375" bestFit="1" customWidth="1"/>
    <col min="12" max="12" width="12.7109375" bestFit="1" customWidth="1"/>
  </cols>
  <sheetData>
    <row r="1" spans="1:15">
      <c r="A1" t="s">
        <v>105</v>
      </c>
    </row>
    <row r="2" spans="1:15" ht="21.75" thickBot="1">
      <c r="C2" s="58" t="s">
        <v>104</v>
      </c>
    </row>
    <row r="3" spans="1:15">
      <c r="A3" s="204" t="s">
        <v>0</v>
      </c>
      <c r="B3" s="207" t="s">
        <v>1</v>
      </c>
      <c r="C3" s="207" t="s">
        <v>2</v>
      </c>
      <c r="D3" s="212" t="s">
        <v>3</v>
      </c>
      <c r="E3" s="213"/>
      <c r="F3" s="213"/>
      <c r="G3" s="213"/>
      <c r="H3" s="213"/>
      <c r="I3" s="213"/>
      <c r="J3" s="213"/>
      <c r="K3" s="213"/>
      <c r="L3" s="214"/>
      <c r="M3" s="1"/>
      <c r="N3" s="204"/>
      <c r="O3" s="217"/>
    </row>
    <row r="4" spans="1:15">
      <c r="A4" s="205"/>
      <c r="B4" s="208"/>
      <c r="C4" s="208"/>
      <c r="D4" s="215" t="s">
        <v>4</v>
      </c>
      <c r="E4" s="215"/>
      <c r="F4" s="215"/>
      <c r="G4" s="215" t="s">
        <v>5</v>
      </c>
      <c r="H4" s="215"/>
      <c r="I4" s="215"/>
      <c r="J4" s="215"/>
      <c r="K4" s="215"/>
      <c r="L4" s="216"/>
      <c r="M4" s="1"/>
      <c r="N4" s="205"/>
      <c r="O4" s="218"/>
    </row>
    <row r="5" spans="1:15" ht="43.5" thickBot="1">
      <c r="A5" s="206"/>
      <c r="B5" s="209"/>
      <c r="C5" s="209"/>
      <c r="D5" s="2" t="s">
        <v>6</v>
      </c>
      <c r="E5" s="3" t="s">
        <v>7</v>
      </c>
      <c r="F5" s="3" t="s">
        <v>8</v>
      </c>
      <c r="G5" s="2" t="s">
        <v>6</v>
      </c>
      <c r="H5" s="3" t="s">
        <v>7</v>
      </c>
      <c r="I5" s="3" t="s">
        <v>8</v>
      </c>
      <c r="J5" s="2" t="s">
        <v>6</v>
      </c>
      <c r="K5" s="3" t="s">
        <v>7</v>
      </c>
      <c r="L5" s="4" t="s">
        <v>8</v>
      </c>
      <c r="M5" s="1"/>
      <c r="N5" s="206"/>
      <c r="O5" s="209"/>
    </row>
    <row r="6" spans="1:15" ht="15.75">
      <c r="A6" s="5"/>
      <c r="B6" s="222" t="s">
        <v>9</v>
      </c>
      <c r="C6" s="10" t="s">
        <v>58</v>
      </c>
      <c r="D6" s="71">
        <v>1</v>
      </c>
      <c r="E6" s="71">
        <v>0.11</v>
      </c>
      <c r="F6" s="72">
        <f>D6/E6*100</f>
        <v>909.09090909090912</v>
      </c>
      <c r="G6" s="71"/>
      <c r="H6" s="71"/>
      <c r="I6" s="73"/>
      <c r="J6" s="71"/>
      <c r="K6" s="71"/>
      <c r="L6" s="74"/>
      <c r="M6" s="1"/>
      <c r="N6" s="5"/>
      <c r="O6" s="7"/>
    </row>
    <row r="7" spans="1:15" ht="19.5" customHeight="1">
      <c r="A7" s="98"/>
      <c r="B7" s="223"/>
      <c r="C7" s="116" t="s">
        <v>74</v>
      </c>
      <c r="D7" s="71">
        <v>3</v>
      </c>
      <c r="E7" s="71">
        <v>0.69</v>
      </c>
      <c r="F7" s="72">
        <f t="shared" ref="F7:F13" si="0">D7/E7*100</f>
        <v>434.78260869565224</v>
      </c>
      <c r="G7" s="71"/>
      <c r="H7" s="71"/>
      <c r="I7" s="73"/>
      <c r="J7" s="71"/>
      <c r="K7" s="71"/>
      <c r="L7" s="74"/>
      <c r="M7" s="1"/>
      <c r="N7" s="98"/>
      <c r="O7" s="7"/>
    </row>
    <row r="8" spans="1:15" ht="16.5" customHeight="1">
      <c r="A8" s="98"/>
      <c r="B8" s="223"/>
      <c r="C8" s="116" t="s">
        <v>71</v>
      </c>
      <c r="D8" s="71">
        <v>6</v>
      </c>
      <c r="E8" s="71">
        <v>1.17</v>
      </c>
      <c r="F8" s="72">
        <f t="shared" si="0"/>
        <v>512.82051282051282</v>
      </c>
      <c r="G8" s="71"/>
      <c r="H8" s="71"/>
      <c r="I8" s="73"/>
      <c r="J8" s="71"/>
      <c r="K8" s="71"/>
      <c r="L8" s="74"/>
      <c r="M8" s="1"/>
      <c r="N8" s="98"/>
      <c r="O8" s="7"/>
    </row>
    <row r="9" spans="1:15" ht="15.75">
      <c r="A9" s="98"/>
      <c r="B9" s="223"/>
      <c r="C9" s="116" t="s">
        <v>72</v>
      </c>
      <c r="D9" s="71">
        <v>2</v>
      </c>
      <c r="E9" s="71">
        <v>0.33</v>
      </c>
      <c r="F9" s="72">
        <f t="shared" si="0"/>
        <v>606.06060606060601</v>
      </c>
      <c r="G9" s="71"/>
      <c r="H9" s="71"/>
      <c r="I9" s="73"/>
      <c r="J9" s="71"/>
      <c r="K9" s="71"/>
      <c r="L9" s="74"/>
      <c r="M9" s="1"/>
      <c r="N9" s="98"/>
      <c r="O9" s="7"/>
    </row>
    <row r="10" spans="1:15" ht="33" customHeight="1">
      <c r="A10" s="98"/>
      <c r="B10" s="223"/>
      <c r="C10" s="16" t="s">
        <v>10</v>
      </c>
      <c r="D10" s="71">
        <v>6.92</v>
      </c>
      <c r="E10" s="71">
        <v>0.99</v>
      </c>
      <c r="F10" s="72">
        <f t="shared" si="0"/>
        <v>698.98989898989896</v>
      </c>
      <c r="G10" s="71"/>
      <c r="H10" s="71"/>
      <c r="I10" s="73"/>
      <c r="J10" s="71"/>
      <c r="K10" s="71"/>
      <c r="L10" s="74"/>
      <c r="M10" s="1"/>
      <c r="N10" s="98"/>
      <c r="O10" s="7"/>
    </row>
    <row r="11" spans="1:15" ht="17.25" customHeight="1">
      <c r="A11" s="98"/>
      <c r="B11" s="223"/>
      <c r="C11" s="16" t="s">
        <v>57</v>
      </c>
      <c r="D11" s="71">
        <v>3.08</v>
      </c>
      <c r="E11" s="71">
        <v>3.05</v>
      </c>
      <c r="F11" s="72">
        <f t="shared" si="0"/>
        <v>100.98360655737706</v>
      </c>
      <c r="G11" s="71"/>
      <c r="H11" s="71"/>
      <c r="I11" s="73"/>
      <c r="J11" s="71"/>
      <c r="K11" s="71"/>
      <c r="L11" s="74"/>
      <c r="M11" s="1"/>
      <c r="N11" s="98"/>
      <c r="O11" s="7"/>
    </row>
    <row r="12" spans="1:15" ht="19.5" customHeight="1">
      <c r="A12" s="98"/>
      <c r="B12" s="223"/>
      <c r="C12" s="33" t="s">
        <v>13</v>
      </c>
      <c r="D12" s="71">
        <v>1</v>
      </c>
      <c r="E12" s="71">
        <v>0.45</v>
      </c>
      <c r="F12" s="72">
        <f t="shared" si="0"/>
        <v>222.22222222222223</v>
      </c>
      <c r="G12" s="71"/>
      <c r="H12" s="71"/>
      <c r="I12" s="73"/>
      <c r="J12" s="71"/>
      <c r="K12" s="71"/>
      <c r="L12" s="74"/>
      <c r="M12" s="1"/>
      <c r="N12" s="98"/>
      <c r="O12" s="7"/>
    </row>
    <row r="13" spans="1:15" ht="15.75" customHeight="1">
      <c r="A13" s="68">
        <v>1</v>
      </c>
      <c r="B13" s="223"/>
      <c r="C13" s="104" t="s">
        <v>30</v>
      </c>
      <c r="D13" s="11">
        <v>12</v>
      </c>
      <c r="E13" s="75">
        <v>0.04</v>
      </c>
      <c r="F13" s="76">
        <f t="shared" si="0"/>
        <v>30000</v>
      </c>
      <c r="G13" s="75"/>
      <c r="H13" s="75"/>
      <c r="I13" s="77"/>
      <c r="J13" s="75"/>
      <c r="K13" s="75"/>
      <c r="L13" s="78"/>
      <c r="M13" s="1"/>
      <c r="N13" s="68"/>
      <c r="O13" s="10"/>
    </row>
    <row r="14" spans="1:15" ht="15.75">
      <c r="A14" s="18"/>
      <c r="B14" s="79"/>
      <c r="C14" s="20" t="s">
        <v>11</v>
      </c>
      <c r="D14" s="21"/>
      <c r="E14" s="21"/>
      <c r="F14" s="21"/>
      <c r="G14" s="80"/>
      <c r="H14" s="80"/>
      <c r="I14" s="81"/>
      <c r="J14" s="80"/>
      <c r="K14" s="80"/>
      <c r="L14" s="82"/>
      <c r="M14" s="25"/>
      <c r="N14" s="18"/>
      <c r="O14" s="26"/>
    </row>
    <row r="15" spans="1:15" ht="78.75">
      <c r="A15" s="199">
        <v>4</v>
      </c>
      <c r="B15" s="219" t="s">
        <v>12</v>
      </c>
      <c r="C15" s="59" t="s">
        <v>28</v>
      </c>
      <c r="D15" s="75"/>
      <c r="E15" s="75">
        <v>0.4</v>
      </c>
      <c r="F15" s="77">
        <f>D15/E15*100</f>
        <v>0</v>
      </c>
      <c r="G15" s="75"/>
      <c r="H15" s="75"/>
      <c r="I15" s="76"/>
      <c r="J15" s="75"/>
      <c r="K15" s="75"/>
      <c r="L15" s="78"/>
      <c r="M15" s="1"/>
      <c r="N15" s="199"/>
      <c r="O15" s="27"/>
    </row>
    <row r="16" spans="1:15" ht="19.5" customHeight="1">
      <c r="A16" s="200"/>
      <c r="B16" s="220"/>
      <c r="C16" s="33" t="s">
        <v>17</v>
      </c>
      <c r="D16" s="75"/>
      <c r="E16" s="75"/>
      <c r="F16" s="77"/>
      <c r="G16" s="75"/>
      <c r="H16" s="75"/>
      <c r="I16" s="76"/>
      <c r="J16" s="75"/>
      <c r="K16" s="75"/>
      <c r="L16" s="78"/>
      <c r="M16" s="1"/>
      <c r="N16" s="200"/>
      <c r="O16" s="27"/>
    </row>
    <row r="17" spans="1:15" ht="15.75">
      <c r="A17" s="200"/>
      <c r="B17" s="220"/>
      <c r="C17" s="60" t="s">
        <v>18</v>
      </c>
      <c r="D17" s="75">
        <v>1</v>
      </c>
      <c r="E17" s="75">
        <v>0.11</v>
      </c>
      <c r="F17" s="77">
        <f t="shared" ref="F17:F73" si="1">D17/E17*100</f>
        <v>909.09090909090912</v>
      </c>
      <c r="G17" s="75"/>
      <c r="H17" s="75"/>
      <c r="I17" s="76"/>
      <c r="J17" s="75"/>
      <c r="K17" s="75"/>
      <c r="L17" s="78"/>
      <c r="M17" s="1"/>
      <c r="N17" s="200"/>
      <c r="O17" s="27"/>
    </row>
    <row r="18" spans="1:15" ht="15.75">
      <c r="A18" s="200"/>
      <c r="B18" s="220"/>
      <c r="C18" s="60" t="s">
        <v>19</v>
      </c>
      <c r="D18" s="75">
        <v>1.5</v>
      </c>
      <c r="E18" s="75">
        <v>0.99</v>
      </c>
      <c r="F18" s="77">
        <f t="shared" si="1"/>
        <v>151.5151515151515</v>
      </c>
      <c r="G18" s="75"/>
      <c r="H18" s="75"/>
      <c r="I18" s="76"/>
      <c r="J18" s="75"/>
      <c r="K18" s="75"/>
      <c r="L18" s="78"/>
      <c r="M18" s="1"/>
      <c r="N18" s="200"/>
      <c r="O18" s="27"/>
    </row>
    <row r="19" spans="1:15" ht="29.25" customHeight="1">
      <c r="A19" s="200"/>
      <c r="B19" s="220"/>
      <c r="C19" s="33" t="s">
        <v>20</v>
      </c>
      <c r="D19" s="75"/>
      <c r="E19" s="75"/>
      <c r="F19" s="77"/>
      <c r="G19" s="75"/>
      <c r="H19" s="75"/>
      <c r="I19" s="76"/>
      <c r="J19" s="75"/>
      <c r="K19" s="75"/>
      <c r="L19" s="78"/>
      <c r="M19" s="1"/>
      <c r="N19" s="200"/>
      <c r="O19" s="27"/>
    </row>
    <row r="20" spans="1:15" ht="15.75">
      <c r="A20" s="200"/>
      <c r="B20" s="220"/>
      <c r="C20" s="60" t="s">
        <v>21</v>
      </c>
      <c r="D20" s="75">
        <v>2</v>
      </c>
      <c r="E20" s="75">
        <v>2</v>
      </c>
      <c r="F20" s="77">
        <f t="shared" si="1"/>
        <v>100</v>
      </c>
      <c r="G20" s="75"/>
      <c r="H20" s="75"/>
      <c r="I20" s="76"/>
      <c r="J20" s="75"/>
      <c r="K20" s="75"/>
      <c r="L20" s="78"/>
      <c r="M20" s="1"/>
      <c r="N20" s="200"/>
      <c r="O20" s="28"/>
    </row>
    <row r="21" spans="1:15" ht="15.75">
      <c r="A21" s="200"/>
      <c r="B21" s="220"/>
      <c r="C21" s="60" t="s">
        <v>22</v>
      </c>
      <c r="D21" s="75">
        <v>1</v>
      </c>
      <c r="E21" s="75">
        <v>1</v>
      </c>
      <c r="F21" s="77">
        <f t="shared" si="1"/>
        <v>100</v>
      </c>
      <c r="G21" s="75"/>
      <c r="H21" s="75"/>
      <c r="I21" s="76"/>
      <c r="J21" s="75"/>
      <c r="K21" s="75"/>
      <c r="L21" s="78"/>
      <c r="M21" s="1"/>
      <c r="N21" s="200"/>
      <c r="O21" s="27"/>
    </row>
    <row r="22" spans="1:15" ht="33.75" customHeight="1">
      <c r="A22" s="200"/>
      <c r="B22" s="220"/>
      <c r="C22" s="61" t="s">
        <v>29</v>
      </c>
      <c r="D22" s="75">
        <v>3</v>
      </c>
      <c r="E22" s="75"/>
      <c r="F22" s="77"/>
      <c r="G22" s="75"/>
      <c r="H22" s="75"/>
      <c r="I22" s="76"/>
      <c r="J22" s="75"/>
      <c r="K22" s="75"/>
      <c r="L22" s="83"/>
      <c r="M22" s="1"/>
      <c r="N22" s="200"/>
      <c r="O22" s="27"/>
    </row>
    <row r="23" spans="1:15" ht="42" customHeight="1">
      <c r="A23" s="200"/>
      <c r="B23" s="220"/>
      <c r="C23" s="104" t="s">
        <v>30</v>
      </c>
      <c r="D23" s="75">
        <v>27</v>
      </c>
      <c r="E23" s="75">
        <v>12.76</v>
      </c>
      <c r="F23" s="77"/>
      <c r="G23" s="75"/>
      <c r="H23" s="75"/>
      <c r="I23" s="76"/>
      <c r="J23" s="75"/>
      <c r="K23" s="75"/>
      <c r="L23" s="78"/>
      <c r="M23" s="1"/>
      <c r="N23" s="200"/>
      <c r="O23" s="28"/>
    </row>
    <row r="24" spans="1:15" ht="31.5">
      <c r="A24" s="200"/>
      <c r="B24" s="220"/>
      <c r="C24" s="28" t="s">
        <v>32</v>
      </c>
      <c r="D24" s="75"/>
      <c r="E24" s="75"/>
      <c r="F24" s="77"/>
      <c r="G24" s="75"/>
      <c r="H24" s="75"/>
      <c r="I24" s="76"/>
      <c r="J24" s="75"/>
      <c r="K24" s="75"/>
      <c r="L24" s="78"/>
      <c r="M24" s="1"/>
      <c r="N24" s="200"/>
      <c r="O24" s="29"/>
    </row>
    <row r="25" spans="1:15" ht="15.75">
      <c r="A25" s="200"/>
      <c r="B25" s="220"/>
      <c r="C25" s="106" t="s">
        <v>33</v>
      </c>
      <c r="D25" s="75">
        <v>0.5</v>
      </c>
      <c r="E25" s="75">
        <v>0.2</v>
      </c>
      <c r="F25" s="77">
        <f t="shared" si="1"/>
        <v>250</v>
      </c>
      <c r="G25" s="75"/>
      <c r="H25" s="75"/>
      <c r="I25" s="76"/>
      <c r="J25" s="75"/>
      <c r="K25" s="75"/>
      <c r="L25" s="78"/>
      <c r="M25" s="1"/>
      <c r="N25" s="200"/>
      <c r="O25" s="29"/>
    </row>
    <row r="26" spans="1:15" ht="15.75">
      <c r="A26" s="200"/>
      <c r="B26" s="220"/>
      <c r="C26" s="106" t="s">
        <v>34</v>
      </c>
      <c r="D26" s="75">
        <v>0.5</v>
      </c>
      <c r="E26" s="75">
        <v>0.2</v>
      </c>
      <c r="F26" s="77">
        <f t="shared" si="1"/>
        <v>250</v>
      </c>
      <c r="G26" s="75"/>
      <c r="H26" s="75"/>
      <c r="I26" s="76"/>
      <c r="J26" s="75"/>
      <c r="K26" s="75"/>
      <c r="L26" s="78"/>
      <c r="M26" s="1"/>
      <c r="N26" s="200"/>
      <c r="O26" s="30"/>
    </row>
    <row r="27" spans="1:15" ht="15.75">
      <c r="A27" s="200"/>
      <c r="B27" s="220"/>
      <c r="C27" s="106" t="s">
        <v>35</v>
      </c>
      <c r="D27" s="75">
        <v>2</v>
      </c>
      <c r="E27" s="75">
        <v>1.6</v>
      </c>
      <c r="F27" s="77">
        <f t="shared" si="1"/>
        <v>125</v>
      </c>
      <c r="G27" s="75"/>
      <c r="H27" s="75"/>
      <c r="I27" s="76"/>
      <c r="J27" s="75"/>
      <c r="K27" s="75"/>
      <c r="L27" s="83"/>
      <c r="M27" s="1"/>
      <c r="N27" s="200"/>
      <c r="O27" s="29"/>
    </row>
    <row r="28" spans="1:15" ht="15.75">
      <c r="A28" s="200"/>
      <c r="B28" s="220"/>
      <c r="C28" s="106" t="s">
        <v>36</v>
      </c>
      <c r="D28" s="75">
        <v>0.5</v>
      </c>
      <c r="E28" s="75">
        <v>0.53</v>
      </c>
      <c r="F28" s="77">
        <f t="shared" si="1"/>
        <v>94.339622641509422</v>
      </c>
      <c r="G28" s="75"/>
      <c r="H28" s="75"/>
      <c r="I28" s="76"/>
      <c r="J28" s="75"/>
      <c r="K28" s="75"/>
      <c r="L28" s="78"/>
      <c r="M28" s="1"/>
      <c r="N28" s="200"/>
      <c r="O28" s="29"/>
    </row>
    <row r="29" spans="1:15" ht="15.75">
      <c r="A29" s="200"/>
      <c r="B29" s="220"/>
      <c r="C29" s="106" t="s">
        <v>37</v>
      </c>
      <c r="D29" s="75">
        <v>0.5</v>
      </c>
      <c r="E29" s="75">
        <v>0.4</v>
      </c>
      <c r="F29" s="77">
        <f t="shared" si="1"/>
        <v>125</v>
      </c>
      <c r="G29" s="75"/>
      <c r="H29" s="75"/>
      <c r="I29" s="76"/>
      <c r="J29" s="75"/>
      <c r="K29" s="75"/>
      <c r="L29" s="78"/>
      <c r="M29" s="1"/>
      <c r="N29" s="200"/>
      <c r="O29" s="29"/>
    </row>
    <row r="30" spans="1:15" ht="15.75">
      <c r="A30" s="200"/>
      <c r="B30" s="220"/>
      <c r="C30" s="106" t="s">
        <v>38</v>
      </c>
      <c r="D30" s="75">
        <v>0.5</v>
      </c>
      <c r="E30" s="75">
        <v>0.4</v>
      </c>
      <c r="F30" s="77">
        <f t="shared" si="1"/>
        <v>125</v>
      </c>
      <c r="G30" s="75"/>
      <c r="H30" s="75"/>
      <c r="I30" s="76"/>
      <c r="J30" s="75"/>
      <c r="K30" s="75"/>
      <c r="L30" s="78"/>
      <c r="M30" s="1"/>
      <c r="N30" s="200"/>
      <c r="O30" s="31"/>
    </row>
    <row r="31" spans="1:15" ht="15.75">
      <c r="A31" s="200"/>
      <c r="B31" s="220"/>
      <c r="C31" s="106" t="s">
        <v>39</v>
      </c>
      <c r="D31" s="75">
        <v>2</v>
      </c>
      <c r="E31" s="75">
        <v>0.8</v>
      </c>
      <c r="F31" s="77">
        <f t="shared" si="1"/>
        <v>250</v>
      </c>
      <c r="G31" s="75"/>
      <c r="H31" s="75"/>
      <c r="I31" s="76"/>
      <c r="J31" s="75"/>
      <c r="K31" s="75"/>
      <c r="L31" s="78"/>
      <c r="M31" s="1"/>
      <c r="N31" s="200"/>
      <c r="O31" s="31"/>
    </row>
    <row r="32" spans="1:15" ht="15.75">
      <c r="A32" s="200"/>
      <c r="B32" s="220"/>
      <c r="C32" s="31" t="s">
        <v>40</v>
      </c>
      <c r="D32" s="75"/>
      <c r="E32" s="75"/>
      <c r="F32" s="77"/>
      <c r="G32" s="75"/>
      <c r="H32" s="75"/>
      <c r="I32" s="76"/>
      <c r="J32" s="75"/>
      <c r="K32" s="75"/>
      <c r="L32" s="78"/>
      <c r="M32" s="1"/>
      <c r="N32" s="200"/>
      <c r="O32" s="29"/>
    </row>
    <row r="33" spans="1:15" ht="15.75">
      <c r="A33" s="200"/>
      <c r="B33" s="220"/>
      <c r="C33" s="31" t="s">
        <v>41</v>
      </c>
      <c r="D33" s="75">
        <v>0.5</v>
      </c>
      <c r="E33" s="75">
        <v>0.22</v>
      </c>
      <c r="F33" s="77">
        <f t="shared" si="1"/>
        <v>227.27272727272728</v>
      </c>
      <c r="G33" s="75"/>
      <c r="H33" s="75"/>
      <c r="I33" s="76"/>
      <c r="J33" s="75"/>
      <c r="K33" s="75"/>
      <c r="L33" s="83"/>
      <c r="M33" s="1"/>
      <c r="N33" s="200"/>
      <c r="O33" s="29"/>
    </row>
    <row r="34" spans="1:15" ht="15.75">
      <c r="A34" s="200"/>
      <c r="B34" s="220"/>
      <c r="C34" s="31" t="s">
        <v>42</v>
      </c>
      <c r="D34" s="75">
        <v>5.5</v>
      </c>
      <c r="E34" s="75">
        <v>5.33</v>
      </c>
      <c r="F34" s="77">
        <f t="shared" si="1"/>
        <v>103.18949343339587</v>
      </c>
      <c r="G34" s="75"/>
      <c r="H34" s="75"/>
      <c r="I34" s="76"/>
      <c r="J34" s="75"/>
      <c r="K34" s="75"/>
      <c r="L34" s="78"/>
      <c r="M34" s="1"/>
      <c r="N34" s="200"/>
      <c r="O34" s="32"/>
    </row>
    <row r="35" spans="1:15" ht="15.75">
      <c r="A35" s="200"/>
      <c r="B35" s="220"/>
      <c r="C35" s="31" t="s">
        <v>43</v>
      </c>
      <c r="D35" s="75">
        <v>5</v>
      </c>
      <c r="E35" s="75">
        <v>4.8</v>
      </c>
      <c r="F35" s="77">
        <f t="shared" si="1"/>
        <v>104.16666666666667</v>
      </c>
      <c r="G35" s="75"/>
      <c r="H35" s="75"/>
      <c r="I35" s="76"/>
      <c r="J35" s="75"/>
      <c r="K35" s="75"/>
      <c r="L35" s="78"/>
      <c r="M35" s="1"/>
      <c r="N35" s="200"/>
      <c r="O35" s="32"/>
    </row>
    <row r="36" spans="1:15" ht="15.75">
      <c r="A36" s="200"/>
      <c r="B36" s="220"/>
      <c r="C36" s="106" t="s">
        <v>44</v>
      </c>
      <c r="D36" s="75">
        <v>2</v>
      </c>
      <c r="E36" s="75">
        <v>2.13</v>
      </c>
      <c r="F36" s="77">
        <f t="shared" si="1"/>
        <v>93.896713615023472</v>
      </c>
      <c r="G36" s="75"/>
      <c r="H36" s="75"/>
      <c r="I36" s="76"/>
      <c r="J36" s="75"/>
      <c r="K36" s="75"/>
      <c r="L36" s="78"/>
      <c r="M36" s="1"/>
      <c r="N36" s="200"/>
      <c r="O36" s="10"/>
    </row>
    <row r="37" spans="1:15" ht="15.75">
      <c r="A37" s="200"/>
      <c r="B37" s="220"/>
      <c r="C37" s="106" t="s">
        <v>45</v>
      </c>
      <c r="D37" s="75">
        <v>1</v>
      </c>
      <c r="E37" s="75">
        <v>1.07</v>
      </c>
      <c r="F37" s="77">
        <f t="shared" si="1"/>
        <v>93.45794392523365</v>
      </c>
      <c r="G37" s="75"/>
      <c r="H37" s="75"/>
      <c r="I37" s="76"/>
      <c r="J37" s="75"/>
      <c r="K37" s="75"/>
      <c r="L37" s="78"/>
      <c r="M37" s="1"/>
      <c r="N37" s="200"/>
      <c r="O37" s="16"/>
    </row>
    <row r="38" spans="1:15" ht="15.75">
      <c r="A38" s="200"/>
      <c r="B38" s="220"/>
      <c r="C38" s="107" t="s">
        <v>46</v>
      </c>
      <c r="D38" s="75">
        <v>1</v>
      </c>
      <c r="E38" s="75">
        <v>1.07</v>
      </c>
      <c r="F38" s="77">
        <f t="shared" si="1"/>
        <v>93.45794392523365</v>
      </c>
      <c r="G38" s="75"/>
      <c r="H38" s="75"/>
      <c r="I38" s="76"/>
      <c r="J38" s="75"/>
      <c r="K38" s="75"/>
      <c r="L38" s="78"/>
      <c r="M38" s="1"/>
      <c r="N38" s="200"/>
      <c r="O38" s="33"/>
    </row>
    <row r="39" spans="1:15" ht="42.75" customHeight="1">
      <c r="A39" s="200"/>
      <c r="B39" s="220"/>
      <c r="C39" s="108" t="s">
        <v>47</v>
      </c>
      <c r="D39" s="75">
        <v>0.5</v>
      </c>
      <c r="E39" s="75">
        <v>0.53</v>
      </c>
      <c r="F39" s="77">
        <f t="shared" si="1"/>
        <v>94.339622641509422</v>
      </c>
      <c r="G39" s="75"/>
      <c r="H39" s="75"/>
      <c r="I39" s="76"/>
      <c r="J39" s="75"/>
      <c r="K39" s="75"/>
      <c r="L39" s="78"/>
      <c r="M39" s="1"/>
      <c r="N39" s="200"/>
      <c r="O39" s="10"/>
    </row>
    <row r="40" spans="1:15" ht="30">
      <c r="A40" s="200"/>
      <c r="B40" s="220"/>
      <c r="C40" s="109" t="s">
        <v>23</v>
      </c>
      <c r="D40" s="75" t="s">
        <v>53</v>
      </c>
      <c r="E40" s="75">
        <v>1.07</v>
      </c>
      <c r="F40" s="77"/>
      <c r="G40" s="75"/>
      <c r="H40" s="75"/>
      <c r="I40" s="76"/>
      <c r="J40" s="75"/>
      <c r="K40" s="75"/>
      <c r="L40" s="78"/>
      <c r="M40" s="1"/>
      <c r="N40" s="200"/>
      <c r="O40" s="10"/>
    </row>
    <row r="41" spans="1:15" ht="30">
      <c r="A41" s="200"/>
      <c r="B41" s="220"/>
      <c r="C41" s="109" t="s">
        <v>24</v>
      </c>
      <c r="D41" s="75">
        <v>0.5</v>
      </c>
      <c r="E41" s="75">
        <v>0.53</v>
      </c>
      <c r="F41" s="77">
        <f t="shared" si="1"/>
        <v>94.339622641509422</v>
      </c>
      <c r="G41" s="75"/>
      <c r="H41" s="75"/>
      <c r="I41" s="76"/>
      <c r="J41" s="75"/>
      <c r="K41" s="75"/>
      <c r="L41" s="78"/>
      <c r="M41" s="1"/>
      <c r="N41" s="200"/>
      <c r="O41" s="34"/>
    </row>
    <row r="42" spans="1:15" ht="15.75">
      <c r="A42" s="200"/>
      <c r="B42" s="220"/>
      <c r="C42" s="109" t="s">
        <v>25</v>
      </c>
      <c r="D42" s="75">
        <v>0.5</v>
      </c>
      <c r="E42" s="75">
        <v>0.53</v>
      </c>
      <c r="F42" s="77">
        <f t="shared" si="1"/>
        <v>94.339622641509422</v>
      </c>
      <c r="G42" s="75"/>
      <c r="H42" s="75"/>
      <c r="I42" s="76"/>
      <c r="J42" s="75"/>
      <c r="K42" s="75"/>
      <c r="L42" s="83"/>
      <c r="M42" s="1"/>
      <c r="N42" s="200"/>
      <c r="O42" s="34"/>
    </row>
    <row r="43" spans="1:15" ht="30">
      <c r="A43" s="200"/>
      <c r="B43" s="220"/>
      <c r="C43" s="143" t="s">
        <v>48</v>
      </c>
      <c r="D43" s="75">
        <v>0.5</v>
      </c>
      <c r="E43" s="75">
        <v>0.8</v>
      </c>
      <c r="F43" s="77">
        <f t="shared" si="1"/>
        <v>62.5</v>
      </c>
      <c r="G43" s="75"/>
      <c r="H43" s="75"/>
      <c r="I43" s="76"/>
      <c r="J43" s="75"/>
      <c r="K43" s="75"/>
      <c r="L43" s="83"/>
      <c r="M43" s="1"/>
      <c r="N43" s="200"/>
      <c r="O43" s="34"/>
    </row>
    <row r="44" spans="1:15" ht="15.75">
      <c r="A44" s="200"/>
      <c r="B44" s="220"/>
      <c r="C44" s="110" t="s">
        <v>49</v>
      </c>
      <c r="D44" s="75"/>
      <c r="E44" s="75"/>
      <c r="F44" s="77"/>
      <c r="G44" s="75"/>
      <c r="H44" s="75"/>
      <c r="I44" s="76"/>
      <c r="J44" s="75"/>
      <c r="K44" s="75"/>
      <c r="L44" s="78"/>
      <c r="M44" s="1"/>
      <c r="N44" s="200"/>
      <c r="O44" s="34"/>
    </row>
    <row r="45" spans="1:15" ht="36" customHeight="1">
      <c r="A45" s="200"/>
      <c r="B45" s="220"/>
      <c r="C45" s="108" t="s">
        <v>50</v>
      </c>
      <c r="D45" s="75">
        <v>0.5</v>
      </c>
      <c r="E45" s="75">
        <v>0.53</v>
      </c>
      <c r="F45" s="77">
        <f t="shared" si="1"/>
        <v>94.339622641509422</v>
      </c>
      <c r="G45" s="75"/>
      <c r="H45" s="75"/>
      <c r="I45" s="84"/>
      <c r="J45" s="75"/>
      <c r="K45" s="75"/>
      <c r="L45" s="78"/>
      <c r="M45" s="1"/>
      <c r="N45" s="200"/>
      <c r="O45" s="36"/>
    </row>
    <row r="46" spans="1:15" ht="15.75">
      <c r="A46" s="200"/>
      <c r="B46" s="220"/>
      <c r="C46" s="109" t="s">
        <v>52</v>
      </c>
      <c r="D46" s="75">
        <v>0.5</v>
      </c>
      <c r="E46" s="75">
        <v>0.53</v>
      </c>
      <c r="F46" s="77">
        <f t="shared" si="1"/>
        <v>94.339622641509422</v>
      </c>
      <c r="G46" s="75"/>
      <c r="H46" s="75"/>
      <c r="I46" s="84"/>
      <c r="J46" s="75"/>
      <c r="K46" s="75"/>
      <c r="L46" s="78"/>
      <c r="M46" s="1"/>
      <c r="N46" s="200"/>
      <c r="O46" s="35"/>
    </row>
    <row r="47" spans="1:15" ht="42" customHeight="1">
      <c r="A47" s="200"/>
      <c r="B47" s="220"/>
      <c r="C47" s="43" t="s">
        <v>54</v>
      </c>
      <c r="D47" s="75">
        <v>0.5</v>
      </c>
      <c r="E47" s="75">
        <v>0.53</v>
      </c>
      <c r="F47" s="77">
        <f t="shared" si="1"/>
        <v>94.339622641509422</v>
      </c>
      <c r="G47" s="75"/>
      <c r="H47" s="75"/>
      <c r="I47" s="84"/>
      <c r="J47" s="75"/>
      <c r="K47" s="75"/>
      <c r="L47" s="78"/>
      <c r="M47" s="1"/>
      <c r="N47" s="200"/>
      <c r="O47" s="37"/>
    </row>
    <row r="48" spans="1:15" ht="30" hidden="1">
      <c r="A48" s="200"/>
      <c r="B48" s="220"/>
      <c r="C48" s="143" t="s">
        <v>51</v>
      </c>
      <c r="D48" s="75"/>
      <c r="E48" s="75"/>
      <c r="F48" s="77" t="e">
        <f t="shared" si="1"/>
        <v>#DIV/0!</v>
      </c>
      <c r="G48" s="75"/>
      <c r="H48" s="75"/>
      <c r="I48" s="84"/>
      <c r="J48" s="75"/>
      <c r="K48" s="75"/>
      <c r="L48" s="78"/>
      <c r="M48" s="1"/>
      <c r="N48" s="200"/>
      <c r="O48" s="37"/>
    </row>
    <row r="49" spans="1:15" ht="30">
      <c r="A49" s="200"/>
      <c r="B49" s="220"/>
      <c r="C49" s="143" t="s">
        <v>55</v>
      </c>
      <c r="D49" s="75">
        <v>1</v>
      </c>
      <c r="E49" s="75">
        <v>1.06</v>
      </c>
      <c r="F49" s="77">
        <f t="shared" si="1"/>
        <v>94.339622641509422</v>
      </c>
      <c r="G49" s="75"/>
      <c r="H49" s="75"/>
      <c r="I49" s="84"/>
      <c r="J49" s="75"/>
      <c r="K49" s="75"/>
      <c r="L49" s="78"/>
      <c r="M49" s="1"/>
      <c r="N49" s="200"/>
      <c r="O49" s="37"/>
    </row>
    <row r="50" spans="1:15" ht="15.75">
      <c r="A50" s="200"/>
      <c r="B50" s="220"/>
      <c r="C50" s="143" t="s">
        <v>56</v>
      </c>
      <c r="D50" s="75">
        <v>0.5</v>
      </c>
      <c r="E50" s="75">
        <v>0.53</v>
      </c>
      <c r="F50" s="77">
        <f t="shared" si="1"/>
        <v>94.339622641509422</v>
      </c>
      <c r="G50" s="75"/>
      <c r="H50" s="75"/>
      <c r="I50" s="84"/>
      <c r="J50" s="75"/>
      <c r="K50" s="75"/>
      <c r="L50" s="78"/>
      <c r="M50" s="1"/>
      <c r="N50" s="200"/>
      <c r="O50" s="37"/>
    </row>
    <row r="51" spans="1:15" ht="28.5" customHeight="1">
      <c r="A51" s="200"/>
      <c r="B51" s="220"/>
      <c r="C51" s="16" t="s">
        <v>10</v>
      </c>
      <c r="D51" s="75">
        <v>42</v>
      </c>
      <c r="E51" s="75">
        <v>37.130000000000003</v>
      </c>
      <c r="F51" s="77">
        <f t="shared" si="1"/>
        <v>113.11607864260705</v>
      </c>
      <c r="G51" s="75"/>
      <c r="H51" s="75"/>
      <c r="I51" s="84"/>
      <c r="J51" s="75"/>
      <c r="K51" s="75"/>
      <c r="L51" s="78"/>
      <c r="M51" s="1"/>
      <c r="N51" s="200"/>
      <c r="O51" s="37"/>
    </row>
    <row r="52" spans="1:15" ht="29.25" customHeight="1">
      <c r="A52" s="200"/>
      <c r="B52" s="220"/>
      <c r="C52" s="16" t="s">
        <v>57</v>
      </c>
      <c r="D52" s="75">
        <v>14</v>
      </c>
      <c r="E52" s="75">
        <v>18.260000000000002</v>
      </c>
      <c r="F52" s="77">
        <f t="shared" si="1"/>
        <v>76.670317634173045</v>
      </c>
      <c r="G52" s="75"/>
      <c r="H52" s="75"/>
      <c r="I52" s="84"/>
      <c r="J52" s="75"/>
      <c r="K52" s="75"/>
      <c r="L52" s="78"/>
      <c r="M52" s="1"/>
      <c r="N52" s="200"/>
      <c r="O52" s="37"/>
    </row>
    <row r="53" spans="1:15" ht="42" customHeight="1">
      <c r="A53" s="200"/>
      <c r="B53" s="220"/>
      <c r="C53" s="33" t="s">
        <v>13</v>
      </c>
      <c r="D53" s="75">
        <v>10</v>
      </c>
      <c r="E53" s="75">
        <v>17.53</v>
      </c>
      <c r="F53" s="77">
        <f t="shared" si="1"/>
        <v>57.045065601825442</v>
      </c>
      <c r="G53" s="75"/>
      <c r="H53" s="75"/>
      <c r="I53" s="84"/>
      <c r="J53" s="75"/>
      <c r="K53" s="75"/>
      <c r="L53" s="78"/>
      <c r="M53" s="1"/>
      <c r="N53" s="200"/>
      <c r="O53" s="37"/>
    </row>
    <row r="54" spans="1:15" ht="15.75">
      <c r="A54" s="200"/>
      <c r="B54" s="220"/>
      <c r="C54" s="10" t="s">
        <v>58</v>
      </c>
      <c r="D54" s="75">
        <v>15</v>
      </c>
      <c r="E54" s="75">
        <v>1.05</v>
      </c>
      <c r="F54" s="77">
        <f t="shared" si="1"/>
        <v>1428.5714285714284</v>
      </c>
      <c r="G54" s="75"/>
      <c r="H54" s="75"/>
      <c r="I54" s="84"/>
      <c r="J54" s="75"/>
      <c r="K54" s="75"/>
      <c r="L54" s="78"/>
      <c r="M54" s="1"/>
      <c r="N54" s="200"/>
      <c r="O54" s="37"/>
    </row>
    <row r="55" spans="1:15" ht="15.75">
      <c r="A55" s="200"/>
      <c r="B55" s="220"/>
      <c r="C55" s="10" t="s">
        <v>73</v>
      </c>
      <c r="D55" s="75">
        <v>48</v>
      </c>
      <c r="E55" s="75">
        <v>9.7799999999999994</v>
      </c>
      <c r="F55" s="77">
        <f t="shared" si="1"/>
        <v>490.79754601226995</v>
      </c>
      <c r="G55" s="75"/>
      <c r="H55" s="75"/>
      <c r="I55" s="84"/>
      <c r="J55" s="75"/>
      <c r="K55" s="75"/>
      <c r="L55" s="78"/>
      <c r="M55" s="1"/>
      <c r="N55" s="200"/>
      <c r="O55" s="37"/>
    </row>
    <row r="56" spans="1:15" ht="15.75">
      <c r="A56" s="200"/>
      <c r="B56" s="220"/>
      <c r="C56" s="10" t="s">
        <v>59</v>
      </c>
      <c r="D56" s="75">
        <v>8</v>
      </c>
      <c r="E56" s="75">
        <v>5.99</v>
      </c>
      <c r="F56" s="77">
        <f t="shared" si="1"/>
        <v>133.55592654424041</v>
      </c>
      <c r="G56" s="75"/>
      <c r="H56" s="75"/>
      <c r="I56" s="84"/>
      <c r="J56" s="75"/>
      <c r="K56" s="75"/>
      <c r="L56" s="78"/>
      <c r="M56" s="1"/>
      <c r="N56" s="200"/>
      <c r="O56" s="37"/>
    </row>
    <row r="57" spans="1:15" ht="15.75">
      <c r="A57" s="200"/>
      <c r="B57" s="220"/>
      <c r="C57" s="10" t="s">
        <v>60</v>
      </c>
      <c r="D57" s="75">
        <v>6</v>
      </c>
      <c r="E57" s="75">
        <v>3.43</v>
      </c>
      <c r="F57" s="77">
        <f t="shared" si="1"/>
        <v>174.9271137026239</v>
      </c>
      <c r="G57" s="75"/>
      <c r="H57" s="75"/>
      <c r="I57" s="84"/>
      <c r="J57" s="75"/>
      <c r="K57" s="75"/>
      <c r="L57" s="78"/>
      <c r="M57" s="1"/>
      <c r="N57" s="200"/>
      <c r="O57" s="37"/>
    </row>
    <row r="58" spans="1:15" ht="15.75">
      <c r="A58" s="200"/>
      <c r="B58" s="220"/>
      <c r="C58" s="10" t="s">
        <v>61</v>
      </c>
      <c r="D58" s="75">
        <v>1.5</v>
      </c>
      <c r="E58" s="75">
        <v>0.36</v>
      </c>
      <c r="F58" s="77">
        <f t="shared" si="1"/>
        <v>416.66666666666669</v>
      </c>
      <c r="G58" s="75"/>
      <c r="H58" s="75"/>
      <c r="I58" s="84"/>
      <c r="J58" s="75"/>
      <c r="K58" s="75"/>
      <c r="L58" s="78"/>
      <c r="M58" s="1"/>
      <c r="N58" s="200"/>
      <c r="O58" s="37"/>
    </row>
    <row r="59" spans="1:15" ht="15.75">
      <c r="A59" s="200"/>
      <c r="B59" s="220"/>
      <c r="C59" s="10" t="s">
        <v>62</v>
      </c>
      <c r="D59" s="75">
        <v>28</v>
      </c>
      <c r="E59" s="75">
        <v>22.87</v>
      </c>
      <c r="F59" s="77">
        <f t="shared" si="1"/>
        <v>122.4311324879755</v>
      </c>
      <c r="G59" s="75"/>
      <c r="H59" s="75"/>
      <c r="I59" s="84"/>
      <c r="J59" s="75"/>
      <c r="K59" s="75"/>
      <c r="L59" s="78"/>
      <c r="M59" s="1"/>
      <c r="N59" s="200"/>
      <c r="O59" s="37"/>
    </row>
    <row r="60" spans="1:15" ht="15.75">
      <c r="A60" s="200"/>
      <c r="B60" s="220"/>
      <c r="C60" s="10" t="s">
        <v>63</v>
      </c>
      <c r="D60" s="75">
        <v>12</v>
      </c>
      <c r="E60" s="75">
        <v>8.14</v>
      </c>
      <c r="F60" s="77">
        <f t="shared" si="1"/>
        <v>147.42014742014743</v>
      </c>
      <c r="G60" s="75"/>
      <c r="H60" s="75"/>
      <c r="I60" s="84"/>
      <c r="J60" s="75"/>
      <c r="K60" s="75"/>
      <c r="L60" s="78"/>
      <c r="M60" s="1"/>
      <c r="N60" s="200"/>
      <c r="O60" s="37"/>
    </row>
    <row r="61" spans="1:15" ht="15.75">
      <c r="A61" s="200"/>
      <c r="B61" s="220"/>
      <c r="C61" s="10" t="s">
        <v>64</v>
      </c>
      <c r="D61" s="75">
        <v>1.5</v>
      </c>
      <c r="E61" s="75">
        <v>0.66</v>
      </c>
      <c r="F61" s="77">
        <f t="shared" si="1"/>
        <v>227.27272727272725</v>
      </c>
      <c r="G61" s="75"/>
      <c r="H61" s="75"/>
      <c r="I61" s="84"/>
      <c r="J61" s="75"/>
      <c r="K61" s="75"/>
      <c r="L61" s="78"/>
      <c r="M61" s="1"/>
      <c r="N61" s="200"/>
      <c r="O61" s="37"/>
    </row>
    <row r="62" spans="1:15" ht="17.25" customHeight="1">
      <c r="A62" s="200"/>
      <c r="B62" s="220"/>
      <c r="C62" s="111" t="s">
        <v>65</v>
      </c>
      <c r="D62" s="118">
        <v>1</v>
      </c>
      <c r="E62" s="75">
        <v>0.17</v>
      </c>
      <c r="F62" s="77">
        <f t="shared" si="1"/>
        <v>588.23529411764696</v>
      </c>
      <c r="G62" s="75"/>
      <c r="H62" s="75"/>
      <c r="I62" s="84"/>
      <c r="J62" s="75"/>
      <c r="K62" s="75"/>
      <c r="L62" s="78"/>
      <c r="M62" s="1"/>
      <c r="N62" s="200"/>
      <c r="O62" s="37"/>
    </row>
    <row r="63" spans="1:15" ht="15.75" hidden="1">
      <c r="A63" s="201"/>
      <c r="B63" s="221"/>
      <c r="C63" s="103"/>
      <c r="D63" s="119"/>
      <c r="E63" s="86"/>
      <c r="F63" s="77" t="e">
        <f t="shared" si="1"/>
        <v>#DIV/0!</v>
      </c>
      <c r="G63" s="86"/>
      <c r="H63" s="86"/>
      <c r="I63" s="88"/>
      <c r="J63" s="86"/>
      <c r="K63" s="86"/>
      <c r="L63" s="89"/>
      <c r="M63" s="25"/>
      <c r="N63" s="201"/>
      <c r="O63" s="43"/>
    </row>
    <row r="64" spans="1:15" ht="31.5">
      <c r="A64" s="99"/>
      <c r="B64" s="100"/>
      <c r="C64" s="104" t="s">
        <v>66</v>
      </c>
      <c r="D64" s="120">
        <v>1</v>
      </c>
      <c r="E64" s="120">
        <v>1</v>
      </c>
      <c r="F64" s="77">
        <f t="shared" si="1"/>
        <v>100</v>
      </c>
      <c r="G64" s="112"/>
      <c r="H64" s="112"/>
      <c r="I64" s="113"/>
      <c r="J64" s="112"/>
      <c r="K64" s="112"/>
      <c r="L64" s="114"/>
      <c r="M64" s="25"/>
      <c r="N64" s="99"/>
      <c r="O64" s="43"/>
    </row>
    <row r="65" spans="1:15" ht="21.75" customHeight="1">
      <c r="A65" s="99"/>
      <c r="B65" s="100"/>
      <c r="C65" s="115" t="s">
        <v>67</v>
      </c>
      <c r="D65" s="120"/>
      <c r="E65" s="120"/>
      <c r="F65" s="77"/>
      <c r="G65" s="112"/>
      <c r="H65" s="112"/>
      <c r="I65" s="113"/>
      <c r="J65" s="112"/>
      <c r="K65" s="112"/>
      <c r="L65" s="114"/>
      <c r="M65" s="25"/>
      <c r="N65" s="99"/>
      <c r="O65" s="43"/>
    </row>
    <row r="66" spans="1:15" ht="17.25" customHeight="1">
      <c r="A66" s="99"/>
      <c r="B66" s="100"/>
      <c r="C66" s="115" t="s">
        <v>68</v>
      </c>
      <c r="D66" s="120">
        <v>5</v>
      </c>
      <c r="E66" s="120">
        <v>5</v>
      </c>
      <c r="F66" s="77">
        <f t="shared" si="1"/>
        <v>100</v>
      </c>
      <c r="G66" s="112"/>
      <c r="H66" s="112"/>
      <c r="I66" s="113"/>
      <c r="J66" s="112"/>
      <c r="K66" s="112"/>
      <c r="L66" s="114"/>
      <c r="M66" s="25"/>
      <c r="N66" s="99"/>
      <c r="O66" s="43"/>
    </row>
    <row r="67" spans="1:15" ht="17.25" customHeight="1">
      <c r="A67" s="99"/>
      <c r="B67" s="100"/>
      <c r="C67" s="116" t="s">
        <v>69</v>
      </c>
      <c r="D67" s="120">
        <v>2</v>
      </c>
      <c r="E67" s="120">
        <v>2</v>
      </c>
      <c r="F67" s="77">
        <f t="shared" si="1"/>
        <v>100</v>
      </c>
      <c r="G67" s="112"/>
      <c r="H67" s="112"/>
      <c r="I67" s="113"/>
      <c r="J67" s="112"/>
      <c r="K67" s="112"/>
      <c r="L67" s="114"/>
      <c r="M67" s="25"/>
      <c r="N67" s="99"/>
      <c r="O67" s="43"/>
    </row>
    <row r="68" spans="1:15" ht="17.25" customHeight="1">
      <c r="A68" s="101"/>
      <c r="B68" s="102"/>
      <c r="C68" s="116" t="s">
        <v>70</v>
      </c>
      <c r="D68" s="120">
        <v>1</v>
      </c>
      <c r="E68" s="112"/>
      <c r="F68" s="77"/>
      <c r="G68" s="112"/>
      <c r="H68" s="112"/>
      <c r="I68" s="113"/>
      <c r="J68" s="112"/>
      <c r="K68" s="112"/>
      <c r="L68" s="114"/>
      <c r="M68" s="25"/>
      <c r="N68" s="101"/>
      <c r="O68" s="43"/>
    </row>
    <row r="69" spans="1:15" ht="17.25" customHeight="1">
      <c r="A69" s="99"/>
      <c r="B69" s="100"/>
      <c r="C69" s="116" t="s">
        <v>74</v>
      </c>
      <c r="D69" s="120">
        <v>3</v>
      </c>
      <c r="E69" s="112">
        <v>2.48</v>
      </c>
      <c r="F69" s="77">
        <f t="shared" si="1"/>
        <v>120.96774193548387</v>
      </c>
      <c r="G69" s="112"/>
      <c r="H69" s="112"/>
      <c r="I69" s="113"/>
      <c r="J69" s="112"/>
      <c r="K69" s="112"/>
      <c r="L69" s="114"/>
      <c r="M69" s="25"/>
      <c r="N69" s="99"/>
      <c r="O69" s="43"/>
    </row>
    <row r="70" spans="1:15" ht="17.25" customHeight="1">
      <c r="A70" s="99"/>
      <c r="B70" s="100"/>
      <c r="C70" s="116" t="s">
        <v>71</v>
      </c>
      <c r="D70" s="120">
        <v>6</v>
      </c>
      <c r="E70" s="112">
        <v>2.34</v>
      </c>
      <c r="F70" s="77">
        <f t="shared" si="1"/>
        <v>256.41025641025641</v>
      </c>
      <c r="G70" s="112"/>
      <c r="H70" s="112"/>
      <c r="I70" s="113"/>
      <c r="J70" s="112"/>
      <c r="K70" s="112"/>
      <c r="L70" s="114"/>
      <c r="M70" s="25"/>
      <c r="N70" s="99"/>
      <c r="O70" s="43"/>
    </row>
    <row r="71" spans="1:15" ht="17.25" customHeight="1">
      <c r="A71" s="99"/>
      <c r="B71" s="100"/>
      <c r="C71" s="116" t="s">
        <v>72</v>
      </c>
      <c r="D71" s="120">
        <v>2</v>
      </c>
      <c r="E71" s="112">
        <v>0.66</v>
      </c>
      <c r="F71" s="77">
        <f t="shared" si="1"/>
        <v>303.030303030303</v>
      </c>
      <c r="G71" s="112"/>
      <c r="H71" s="112"/>
      <c r="I71" s="113"/>
      <c r="J71" s="112"/>
      <c r="K71" s="112"/>
      <c r="L71" s="114"/>
      <c r="M71" s="25"/>
      <c r="N71" s="99"/>
      <c r="O71" s="43"/>
    </row>
    <row r="72" spans="1:15" ht="17.25" customHeight="1">
      <c r="A72" s="99"/>
      <c r="B72" s="100"/>
      <c r="C72" s="117" t="s">
        <v>75</v>
      </c>
      <c r="D72" s="120">
        <v>1</v>
      </c>
      <c r="E72" s="112">
        <v>0.1</v>
      </c>
      <c r="F72" s="77">
        <f t="shared" si="1"/>
        <v>1000</v>
      </c>
      <c r="G72" s="112"/>
      <c r="H72" s="112"/>
      <c r="I72" s="113"/>
      <c r="J72" s="112"/>
      <c r="K72" s="112"/>
      <c r="L72" s="114"/>
      <c r="M72" s="25"/>
      <c r="N72" s="99"/>
      <c r="O72" s="43"/>
    </row>
    <row r="73" spans="1:15" ht="17.25" customHeight="1">
      <c r="A73" s="99"/>
      <c r="B73" s="100"/>
      <c r="C73" s="117" t="s">
        <v>76</v>
      </c>
      <c r="D73" s="120">
        <v>1</v>
      </c>
      <c r="E73" s="112">
        <v>1.6</v>
      </c>
      <c r="F73" s="77">
        <f t="shared" si="1"/>
        <v>62.5</v>
      </c>
      <c r="G73" s="112"/>
      <c r="H73" s="112"/>
      <c r="I73" s="113"/>
      <c r="J73" s="112"/>
      <c r="K73" s="112"/>
      <c r="L73" s="114"/>
      <c r="M73" s="25"/>
      <c r="N73" s="99"/>
      <c r="O73" s="43"/>
    </row>
    <row r="74" spans="1:15" ht="28.5" customHeight="1">
      <c r="A74" s="127"/>
      <c r="B74" s="128"/>
      <c r="C74" s="142" t="s">
        <v>90</v>
      </c>
      <c r="D74" s="120"/>
      <c r="E74" s="112"/>
      <c r="F74" s="112"/>
      <c r="G74" s="112">
        <v>22.5</v>
      </c>
      <c r="H74" s="112">
        <v>35.71</v>
      </c>
      <c r="I74" s="113">
        <f>G74/H74</f>
        <v>0.63007560907308879</v>
      </c>
      <c r="J74" s="112"/>
      <c r="K74" s="112"/>
      <c r="L74" s="114"/>
      <c r="M74" s="25"/>
      <c r="N74" s="127"/>
      <c r="O74" s="43"/>
    </row>
    <row r="75" spans="1:15" ht="17.25" customHeight="1">
      <c r="A75" s="127"/>
      <c r="B75" s="128"/>
      <c r="C75" s="142" t="s">
        <v>93</v>
      </c>
      <c r="D75" s="120"/>
      <c r="E75" s="112"/>
      <c r="F75" s="112"/>
      <c r="G75" s="112"/>
      <c r="H75" s="112">
        <v>0.18</v>
      </c>
      <c r="I75" s="113">
        <f t="shared" ref="I75:I87" si="2">G75/H75</f>
        <v>0</v>
      </c>
      <c r="J75" s="112"/>
      <c r="K75" s="112"/>
      <c r="L75" s="114"/>
      <c r="M75" s="25"/>
      <c r="N75" s="127"/>
      <c r="O75" s="43"/>
    </row>
    <row r="76" spans="1:15" ht="17.25" customHeight="1">
      <c r="A76" s="127"/>
      <c r="B76" s="128"/>
      <c r="C76" s="142" t="s">
        <v>94</v>
      </c>
      <c r="D76" s="120"/>
      <c r="E76" s="112"/>
      <c r="F76" s="112"/>
      <c r="G76" s="112"/>
      <c r="H76" s="112"/>
      <c r="I76" s="113"/>
      <c r="J76" s="112"/>
      <c r="K76" s="112"/>
      <c r="L76" s="114"/>
      <c r="M76" s="25"/>
      <c r="N76" s="127"/>
      <c r="O76" s="43"/>
    </row>
    <row r="77" spans="1:15" ht="17.25" customHeight="1">
      <c r="A77" s="127"/>
      <c r="B77" s="128"/>
      <c r="C77" s="142" t="s">
        <v>95</v>
      </c>
      <c r="D77" s="120"/>
      <c r="E77" s="112"/>
      <c r="F77" s="112"/>
      <c r="G77" s="112">
        <v>49</v>
      </c>
      <c r="H77" s="112">
        <v>0.19</v>
      </c>
      <c r="I77" s="113"/>
      <c r="J77" s="112"/>
      <c r="K77" s="112"/>
      <c r="L77" s="114"/>
      <c r="M77" s="25"/>
      <c r="N77" s="127"/>
      <c r="O77" s="43"/>
    </row>
    <row r="78" spans="1:15" ht="17.25" customHeight="1">
      <c r="A78" s="127"/>
      <c r="B78" s="128"/>
      <c r="C78" s="142" t="s">
        <v>96</v>
      </c>
      <c r="D78" s="120"/>
      <c r="E78" s="112"/>
      <c r="F78" s="112"/>
      <c r="G78" s="112"/>
      <c r="H78" s="112">
        <v>1.18</v>
      </c>
      <c r="I78" s="113">
        <f t="shared" si="2"/>
        <v>0</v>
      </c>
      <c r="J78" s="112"/>
      <c r="K78" s="112"/>
      <c r="L78" s="114"/>
      <c r="M78" s="25"/>
      <c r="N78" s="127"/>
      <c r="O78" s="43"/>
    </row>
    <row r="79" spans="1:15" ht="17.25" customHeight="1">
      <c r="A79" s="127"/>
      <c r="B79" s="128"/>
      <c r="C79" s="142" t="s">
        <v>91</v>
      </c>
      <c r="D79" s="120"/>
      <c r="E79" s="112"/>
      <c r="F79" s="112"/>
      <c r="G79" s="112">
        <v>14</v>
      </c>
      <c r="H79" s="112">
        <v>22.22</v>
      </c>
      <c r="I79" s="113">
        <f t="shared" si="2"/>
        <v>0.63006300630063006</v>
      </c>
      <c r="J79" s="112"/>
      <c r="K79" s="112"/>
      <c r="L79" s="114"/>
      <c r="M79" s="25"/>
      <c r="N79" s="127"/>
      <c r="O79" s="43"/>
    </row>
    <row r="80" spans="1:15" ht="17.25" customHeight="1">
      <c r="A80" s="127"/>
      <c r="B80" s="128"/>
      <c r="C80" s="142" t="s">
        <v>92</v>
      </c>
      <c r="D80" s="120"/>
      <c r="E80" s="112"/>
      <c r="F80" s="112"/>
      <c r="G80" s="112">
        <v>20</v>
      </c>
      <c r="H80" s="112">
        <v>53.33</v>
      </c>
      <c r="I80" s="113">
        <f t="shared" si="2"/>
        <v>0.37502343896493534</v>
      </c>
      <c r="J80" s="112"/>
      <c r="K80" s="112"/>
      <c r="L80" s="114"/>
      <c r="M80" s="25"/>
      <c r="N80" s="127"/>
      <c r="O80" s="43"/>
    </row>
    <row r="81" spans="1:15" ht="17.25" customHeight="1">
      <c r="A81" s="127"/>
      <c r="B81" s="128"/>
      <c r="C81" s="142" t="s">
        <v>100</v>
      </c>
      <c r="D81" s="120"/>
      <c r="E81" s="112"/>
      <c r="F81" s="112"/>
      <c r="G81" s="112">
        <v>4.5</v>
      </c>
      <c r="H81" s="112">
        <v>19.72</v>
      </c>
      <c r="I81" s="113">
        <f t="shared" si="2"/>
        <v>0.2281947261663286</v>
      </c>
      <c r="J81" s="112"/>
      <c r="K81" s="112"/>
      <c r="L81" s="114"/>
      <c r="M81" s="25"/>
      <c r="N81" s="127"/>
      <c r="O81" s="43"/>
    </row>
    <row r="82" spans="1:15" ht="17.25" customHeight="1">
      <c r="A82" s="127"/>
      <c r="B82" s="128"/>
      <c r="C82" s="142" t="s">
        <v>99</v>
      </c>
      <c r="D82" s="120"/>
      <c r="E82" s="112"/>
      <c r="F82" s="112"/>
      <c r="G82" s="112">
        <v>1</v>
      </c>
      <c r="H82" s="112">
        <v>0.44</v>
      </c>
      <c r="I82" s="113">
        <f t="shared" si="2"/>
        <v>2.2727272727272729</v>
      </c>
      <c r="J82" s="112"/>
      <c r="K82" s="112"/>
      <c r="L82" s="114"/>
      <c r="M82" s="25"/>
      <c r="N82" s="127"/>
      <c r="O82" s="43"/>
    </row>
    <row r="83" spans="1:15" ht="17.25" customHeight="1">
      <c r="A83" s="127"/>
      <c r="B83" s="128"/>
      <c r="C83" s="142" t="s">
        <v>97</v>
      </c>
      <c r="D83" s="120"/>
      <c r="E83" s="112"/>
      <c r="F83" s="112"/>
      <c r="G83" s="112">
        <v>8</v>
      </c>
      <c r="H83" s="112">
        <v>8.4</v>
      </c>
      <c r="I83" s="113">
        <f t="shared" si="2"/>
        <v>0.95238095238095233</v>
      </c>
      <c r="J83" s="112"/>
      <c r="K83" s="112"/>
      <c r="L83" s="114"/>
      <c r="M83" s="25"/>
      <c r="N83" s="127"/>
      <c r="O83" s="43"/>
    </row>
    <row r="84" spans="1:15" ht="17.25" customHeight="1">
      <c r="A84" s="127"/>
      <c r="B84" s="128"/>
      <c r="C84" s="142" t="s">
        <v>98</v>
      </c>
      <c r="D84" s="120"/>
      <c r="E84" s="112"/>
      <c r="F84" s="112"/>
      <c r="G84" s="112">
        <v>11</v>
      </c>
      <c r="H84" s="112">
        <v>12.96</v>
      </c>
      <c r="I84" s="113">
        <f t="shared" si="2"/>
        <v>0.84876543209876543</v>
      </c>
      <c r="J84" s="112"/>
      <c r="K84" s="112"/>
      <c r="L84" s="114"/>
      <c r="M84" s="25"/>
      <c r="N84" s="127"/>
      <c r="O84" s="43"/>
    </row>
    <row r="85" spans="1:15" ht="17.25" customHeight="1">
      <c r="A85" s="127"/>
      <c r="B85" s="128"/>
      <c r="C85" s="142" t="s">
        <v>101</v>
      </c>
      <c r="D85" s="120"/>
      <c r="E85" s="112"/>
      <c r="F85" s="112"/>
      <c r="G85" s="112">
        <v>20</v>
      </c>
      <c r="H85" s="112">
        <v>23.33</v>
      </c>
      <c r="I85" s="113">
        <f t="shared" si="2"/>
        <v>0.85726532361765972</v>
      </c>
      <c r="J85" s="112"/>
      <c r="K85" s="112"/>
      <c r="L85" s="114"/>
      <c r="M85" s="25"/>
      <c r="N85" s="127"/>
      <c r="O85" s="43"/>
    </row>
    <row r="86" spans="1:15" ht="17.25" customHeight="1">
      <c r="A86" s="127"/>
      <c r="B86" s="128"/>
      <c r="C86" s="142" t="s">
        <v>102</v>
      </c>
      <c r="D86" s="120"/>
      <c r="E86" s="112"/>
      <c r="F86" s="112"/>
      <c r="G86" s="112">
        <v>30</v>
      </c>
      <c r="H86" s="112"/>
      <c r="I86" s="113"/>
      <c r="J86" s="112"/>
      <c r="K86" s="112"/>
      <c r="L86" s="114"/>
      <c r="M86" s="25"/>
      <c r="N86" s="127"/>
      <c r="O86" s="43"/>
    </row>
    <row r="87" spans="1:15" ht="17.25" customHeight="1">
      <c r="A87" s="127"/>
      <c r="B87" s="128"/>
      <c r="C87" s="142" t="s">
        <v>103</v>
      </c>
      <c r="D87" s="120"/>
      <c r="E87" s="112"/>
      <c r="F87" s="112"/>
      <c r="G87" s="112">
        <v>1</v>
      </c>
      <c r="H87" s="112">
        <v>0.13</v>
      </c>
      <c r="I87" s="113">
        <f t="shared" si="2"/>
        <v>7.6923076923076916</v>
      </c>
      <c r="J87" s="112"/>
      <c r="K87" s="112"/>
      <c r="L87" s="114"/>
      <c r="M87" s="25"/>
      <c r="N87" s="127"/>
      <c r="O87" s="43"/>
    </row>
    <row r="88" spans="1:15" ht="17.25" customHeight="1">
      <c r="A88" s="99"/>
      <c r="B88" s="100"/>
      <c r="C88" s="121" t="s">
        <v>77</v>
      </c>
      <c r="D88" s="120"/>
      <c r="E88" s="112"/>
      <c r="F88" s="112"/>
      <c r="G88" s="112"/>
      <c r="H88" s="112"/>
      <c r="I88" s="113"/>
      <c r="J88" s="112"/>
      <c r="K88" s="112"/>
      <c r="L88" s="114"/>
      <c r="M88" s="25"/>
      <c r="N88" s="99"/>
      <c r="O88" s="43"/>
    </row>
    <row r="89" spans="1:15" ht="17.25" customHeight="1">
      <c r="A89" s="99"/>
      <c r="B89" s="100"/>
      <c r="C89" s="122" t="s">
        <v>78</v>
      </c>
      <c r="D89" s="112">
        <v>5.4</v>
      </c>
      <c r="E89" s="112">
        <v>21.6</v>
      </c>
      <c r="F89" s="112">
        <f>D89/E89*100</f>
        <v>25</v>
      </c>
      <c r="G89" s="112"/>
      <c r="H89" s="112"/>
      <c r="I89" s="113"/>
      <c r="J89" s="112"/>
      <c r="K89" s="112"/>
      <c r="L89" s="114"/>
      <c r="M89" s="25"/>
      <c r="N89" s="99"/>
      <c r="O89" s="43"/>
    </row>
    <row r="90" spans="1:15" ht="17.25" customHeight="1">
      <c r="A90" s="101"/>
      <c r="B90" s="102"/>
      <c r="C90" s="122" t="s">
        <v>79</v>
      </c>
      <c r="D90" s="112"/>
      <c r="E90" s="112"/>
      <c r="F90" s="112"/>
      <c r="G90" s="112"/>
      <c r="H90" s="112"/>
      <c r="I90" s="113"/>
      <c r="J90" s="112"/>
      <c r="K90" s="112"/>
      <c r="L90" s="114"/>
      <c r="M90" s="25"/>
      <c r="N90" s="101"/>
      <c r="O90" s="43"/>
    </row>
    <row r="91" spans="1:15" ht="17.25" customHeight="1">
      <c r="A91" s="101"/>
      <c r="B91" s="102"/>
      <c r="C91" s="122" t="s">
        <v>80</v>
      </c>
      <c r="D91" s="112">
        <v>30</v>
      </c>
      <c r="E91" s="112">
        <v>30.9</v>
      </c>
      <c r="F91" s="112">
        <f t="shared" ref="F91:F125" si="3">D91/E91*100</f>
        <v>97.087378640776706</v>
      </c>
      <c r="G91" s="112"/>
      <c r="H91" s="112"/>
      <c r="I91" s="113"/>
      <c r="J91" s="112"/>
      <c r="K91" s="112"/>
      <c r="L91" s="114"/>
      <c r="M91" s="25"/>
      <c r="N91" s="101"/>
      <c r="O91" s="43"/>
    </row>
    <row r="92" spans="1:15" ht="17.25" customHeight="1">
      <c r="A92" s="101"/>
      <c r="B92" s="102"/>
      <c r="C92" s="122" t="s">
        <v>81</v>
      </c>
      <c r="D92" s="112"/>
      <c r="E92" s="112"/>
      <c r="F92" s="112"/>
      <c r="G92" s="112"/>
      <c r="H92" s="112"/>
      <c r="I92" s="113"/>
      <c r="J92" s="112"/>
      <c r="K92" s="112"/>
      <c r="L92" s="114"/>
      <c r="M92" s="25"/>
      <c r="N92" s="101"/>
      <c r="O92" s="43"/>
    </row>
    <row r="93" spans="1:15" ht="17.25" customHeight="1">
      <c r="A93" s="101"/>
      <c r="B93" s="102"/>
      <c r="C93" s="122" t="s">
        <v>82</v>
      </c>
      <c r="D93" s="112"/>
      <c r="E93" s="112"/>
      <c r="F93" s="112"/>
      <c r="G93" s="112"/>
      <c r="H93" s="112"/>
      <c r="I93" s="113"/>
      <c r="J93" s="112"/>
      <c r="K93" s="112"/>
      <c r="L93" s="114"/>
      <c r="M93" s="25"/>
      <c r="N93" s="101"/>
      <c r="O93" s="43"/>
    </row>
    <row r="94" spans="1:15" ht="17.25" customHeight="1">
      <c r="A94" s="101"/>
      <c r="B94" s="102"/>
      <c r="C94" s="122" t="s">
        <v>83</v>
      </c>
      <c r="D94" s="112"/>
      <c r="E94" s="112"/>
      <c r="F94" s="112"/>
      <c r="G94" s="112"/>
      <c r="H94" s="112"/>
      <c r="I94" s="113"/>
      <c r="J94" s="112"/>
      <c r="K94" s="112"/>
      <c r="L94" s="114"/>
      <c r="M94" s="25"/>
      <c r="N94" s="101"/>
      <c r="O94" s="43"/>
    </row>
    <row r="95" spans="1:15" ht="17.25" customHeight="1">
      <c r="A95" s="101"/>
      <c r="B95" s="102"/>
      <c r="C95" s="66" t="s">
        <v>84</v>
      </c>
      <c r="D95" s="112">
        <v>15</v>
      </c>
      <c r="E95" s="112">
        <v>10</v>
      </c>
      <c r="F95" s="112">
        <f t="shared" si="3"/>
        <v>150</v>
      </c>
      <c r="G95" s="112"/>
      <c r="H95" s="112"/>
      <c r="I95" s="113"/>
      <c r="J95" s="112"/>
      <c r="K95" s="112"/>
      <c r="L95" s="114"/>
      <c r="M95" s="25"/>
      <c r="N95" s="101"/>
      <c r="O95" s="43"/>
    </row>
    <row r="96" spans="1:15" ht="17.25" customHeight="1">
      <c r="A96" s="101"/>
      <c r="B96" s="102"/>
      <c r="C96" s="66" t="s">
        <v>85</v>
      </c>
      <c r="D96" s="112">
        <v>7</v>
      </c>
      <c r="E96" s="112">
        <v>1.54</v>
      </c>
      <c r="F96" s="112">
        <f t="shared" si="3"/>
        <v>454.5454545454545</v>
      </c>
      <c r="G96" s="112"/>
      <c r="H96" s="112"/>
      <c r="I96" s="113"/>
      <c r="J96" s="112"/>
      <c r="K96" s="112"/>
      <c r="L96" s="114"/>
      <c r="M96" s="25"/>
      <c r="N96" s="101"/>
      <c r="O96" s="43"/>
    </row>
    <row r="97" spans="1:15" ht="17.25" customHeight="1">
      <c r="A97" s="101"/>
      <c r="B97" s="195" t="s">
        <v>14</v>
      </c>
      <c r="C97" s="66" t="s">
        <v>86</v>
      </c>
      <c r="D97" s="112"/>
      <c r="E97" s="112"/>
      <c r="F97" s="112"/>
      <c r="G97" s="112"/>
      <c r="H97" s="112"/>
      <c r="I97" s="113"/>
      <c r="J97" s="112"/>
      <c r="K97" s="112"/>
      <c r="L97" s="114"/>
      <c r="M97" s="25"/>
      <c r="N97" s="101"/>
      <c r="O97" s="43"/>
    </row>
    <row r="98" spans="1:15" ht="17.25" customHeight="1">
      <c r="A98" s="140"/>
      <c r="B98" s="195"/>
      <c r="C98" s="66"/>
      <c r="D98" s="112"/>
      <c r="E98" s="112"/>
      <c r="F98" s="112"/>
      <c r="G98" s="112"/>
      <c r="H98" s="112"/>
      <c r="I98" s="113"/>
      <c r="J98" s="112"/>
      <c r="K98" s="112"/>
      <c r="L98" s="114"/>
      <c r="M98" s="25"/>
      <c r="N98" s="140"/>
      <c r="O98" s="43"/>
    </row>
    <row r="99" spans="1:15" ht="17.25" customHeight="1">
      <c r="A99" s="140"/>
      <c r="B99" s="195"/>
      <c r="C99" s="145"/>
      <c r="D99" s="86"/>
      <c r="E99" s="86"/>
      <c r="F99" s="86"/>
      <c r="G99" s="86"/>
      <c r="H99" s="86"/>
      <c r="I99" s="88"/>
      <c r="J99" s="86"/>
      <c r="K99" s="86"/>
      <c r="L99" s="89"/>
      <c r="M99" s="25"/>
      <c r="N99" s="140"/>
      <c r="O99" s="43"/>
    </row>
    <row r="100" spans="1:15" ht="15.75">
      <c r="A100" s="44"/>
      <c r="B100" s="195"/>
      <c r="C100" s="10" t="s">
        <v>60</v>
      </c>
      <c r="D100" s="75">
        <v>3.47</v>
      </c>
      <c r="E100" s="75">
        <v>1.1399999999999999</v>
      </c>
      <c r="F100" s="112">
        <f t="shared" si="3"/>
        <v>304.38596491228071</v>
      </c>
      <c r="G100" s="75"/>
      <c r="H100" s="75"/>
      <c r="I100" s="76"/>
      <c r="J100" s="75"/>
      <c r="K100" s="75"/>
      <c r="L100" s="78"/>
      <c r="M100" s="1"/>
      <c r="N100" s="44"/>
      <c r="O100" s="27"/>
    </row>
    <row r="101" spans="1:15" ht="15.75">
      <c r="A101" s="67"/>
      <c r="B101" s="195"/>
      <c r="C101" s="10" t="s">
        <v>61</v>
      </c>
      <c r="D101" s="75">
        <v>0.36</v>
      </c>
      <c r="E101" s="75">
        <v>0.12</v>
      </c>
      <c r="F101" s="112">
        <f t="shared" si="3"/>
        <v>300</v>
      </c>
      <c r="G101" s="75"/>
      <c r="H101" s="75"/>
      <c r="I101" s="76"/>
      <c r="J101" s="75"/>
      <c r="K101" s="75"/>
      <c r="L101" s="78"/>
      <c r="M101" s="1"/>
      <c r="N101" s="67"/>
      <c r="O101" s="27"/>
    </row>
    <row r="102" spans="1:15" ht="15.75">
      <c r="A102" s="123"/>
      <c r="B102" s="90"/>
      <c r="C102" s="10" t="s">
        <v>62</v>
      </c>
      <c r="D102" s="75">
        <v>22.52</v>
      </c>
      <c r="E102" s="75">
        <v>7.6</v>
      </c>
      <c r="F102" s="112">
        <f t="shared" si="3"/>
        <v>296.31578947368422</v>
      </c>
      <c r="G102" s="75"/>
      <c r="H102" s="75"/>
      <c r="I102" s="76"/>
      <c r="J102" s="75"/>
      <c r="K102" s="75"/>
      <c r="L102" s="78"/>
      <c r="M102" s="1"/>
      <c r="N102" s="123"/>
      <c r="O102" s="27"/>
    </row>
    <row r="103" spans="1:15" ht="15.75">
      <c r="A103" s="123"/>
      <c r="B103" s="90"/>
      <c r="C103" s="10" t="s">
        <v>63</v>
      </c>
      <c r="D103" s="75">
        <v>8</v>
      </c>
      <c r="E103" s="75">
        <v>2.71</v>
      </c>
      <c r="F103" s="112">
        <f t="shared" si="3"/>
        <v>295.2029520295203</v>
      </c>
      <c r="G103" s="75"/>
      <c r="H103" s="75"/>
      <c r="I103" s="76"/>
      <c r="J103" s="75"/>
      <c r="K103" s="75"/>
      <c r="L103" s="78"/>
      <c r="M103" s="1"/>
      <c r="N103" s="123"/>
      <c r="O103" s="27"/>
    </row>
    <row r="104" spans="1:15" ht="15.75">
      <c r="A104" s="123"/>
      <c r="B104" s="90"/>
      <c r="C104" s="10" t="s">
        <v>64</v>
      </c>
      <c r="D104" s="75">
        <v>0.65</v>
      </c>
      <c r="E104" s="75">
        <v>0.22</v>
      </c>
      <c r="F104" s="112">
        <f t="shared" si="3"/>
        <v>295.45454545454544</v>
      </c>
      <c r="G104" s="75"/>
      <c r="H104" s="75"/>
      <c r="I104" s="76"/>
      <c r="J104" s="75"/>
      <c r="K104" s="75"/>
      <c r="L104" s="78"/>
      <c r="M104" s="1"/>
      <c r="N104" s="123"/>
      <c r="O104" s="27"/>
    </row>
    <row r="105" spans="1:15" ht="15.75">
      <c r="A105" s="67"/>
      <c r="B105" s="90"/>
      <c r="C105" s="142" t="s">
        <v>103</v>
      </c>
      <c r="D105" s="75"/>
      <c r="E105" s="75"/>
      <c r="F105" s="112"/>
      <c r="G105" s="75">
        <v>1</v>
      </c>
      <c r="H105" s="75">
        <v>0.06</v>
      </c>
      <c r="I105" s="76"/>
      <c r="J105" s="75"/>
      <c r="K105" s="75"/>
      <c r="L105" s="78"/>
      <c r="M105" s="1"/>
      <c r="N105" s="67"/>
      <c r="O105" s="27"/>
    </row>
    <row r="106" spans="1:15" ht="15" customHeight="1">
      <c r="A106" s="140"/>
      <c r="B106" s="90"/>
      <c r="C106" s="16" t="s">
        <v>10</v>
      </c>
      <c r="D106" s="75"/>
      <c r="E106" s="75">
        <v>0.51</v>
      </c>
      <c r="F106" s="112">
        <f t="shared" si="3"/>
        <v>0</v>
      </c>
      <c r="G106" s="75"/>
      <c r="H106" s="75"/>
      <c r="I106" s="76"/>
      <c r="J106" s="75"/>
      <c r="K106" s="75"/>
      <c r="L106" s="78"/>
      <c r="M106" s="1"/>
      <c r="N106" s="140"/>
      <c r="O106" s="27"/>
    </row>
    <row r="107" spans="1:15" ht="18.75" customHeight="1">
      <c r="A107" s="140"/>
      <c r="B107" s="90"/>
      <c r="C107" s="16" t="s">
        <v>57</v>
      </c>
      <c r="D107" s="75"/>
      <c r="E107" s="75">
        <v>0.21</v>
      </c>
      <c r="F107" s="112">
        <f t="shared" si="3"/>
        <v>0</v>
      </c>
      <c r="G107" s="75"/>
      <c r="H107" s="75"/>
      <c r="I107" s="76"/>
      <c r="J107" s="75"/>
      <c r="K107" s="75"/>
      <c r="L107" s="78"/>
      <c r="M107" s="1"/>
      <c r="N107" s="140"/>
      <c r="O107" s="27"/>
    </row>
    <row r="108" spans="1:15" ht="30" customHeight="1">
      <c r="A108" s="140"/>
      <c r="B108" s="90"/>
      <c r="C108" s="33" t="s">
        <v>13</v>
      </c>
      <c r="D108" s="75"/>
      <c r="E108" s="75">
        <v>0.46</v>
      </c>
      <c r="F108" s="112">
        <f t="shared" si="3"/>
        <v>0</v>
      </c>
      <c r="G108" s="75"/>
      <c r="H108" s="75"/>
      <c r="I108" s="76"/>
      <c r="J108" s="75"/>
      <c r="K108" s="75"/>
      <c r="L108" s="78"/>
      <c r="M108" s="1"/>
      <c r="N108" s="140"/>
      <c r="O108" s="27"/>
    </row>
    <row r="109" spans="1:15" ht="15.75">
      <c r="A109" s="140"/>
      <c r="B109" s="90"/>
      <c r="C109" s="142"/>
      <c r="D109" s="75"/>
      <c r="E109" s="75"/>
      <c r="F109" s="112"/>
      <c r="G109" s="75"/>
      <c r="H109" s="75"/>
      <c r="I109" s="76"/>
      <c r="J109" s="75"/>
      <c r="K109" s="75"/>
      <c r="L109" s="78"/>
      <c r="M109" s="1"/>
      <c r="N109" s="140"/>
      <c r="O109" s="27"/>
    </row>
    <row r="110" spans="1:15" ht="15.75">
      <c r="A110" s="47"/>
      <c r="B110" s="91"/>
      <c r="C110" s="122"/>
      <c r="D110" s="86"/>
      <c r="E110" s="86"/>
      <c r="F110" s="112"/>
      <c r="G110" s="86"/>
      <c r="H110" s="86"/>
      <c r="I110" s="88"/>
      <c r="J110" s="86"/>
      <c r="K110" s="86"/>
      <c r="L110" s="92"/>
      <c r="M110" s="25"/>
      <c r="N110" s="50"/>
      <c r="O110" s="43"/>
    </row>
    <row r="111" spans="1:15" ht="42" customHeight="1">
      <c r="A111" s="45"/>
      <c r="B111" s="194" t="s">
        <v>89</v>
      </c>
      <c r="C111" s="104" t="s">
        <v>30</v>
      </c>
      <c r="D111" s="75">
        <v>22</v>
      </c>
      <c r="E111" s="75"/>
      <c r="F111" s="112"/>
      <c r="G111" s="75"/>
      <c r="H111" s="75"/>
      <c r="I111" s="75"/>
      <c r="J111" s="75"/>
      <c r="K111" s="75"/>
      <c r="L111" s="78"/>
      <c r="M111" s="1"/>
      <c r="N111" s="45"/>
      <c r="O111" s="27"/>
    </row>
    <row r="112" spans="1:15" ht="28.5" customHeight="1">
      <c r="A112" s="56"/>
      <c r="B112" s="195"/>
      <c r="C112" s="105" t="s">
        <v>31</v>
      </c>
      <c r="D112" s="93"/>
      <c r="E112" s="93"/>
      <c r="F112" s="112"/>
      <c r="G112" s="93"/>
      <c r="H112" s="93"/>
      <c r="I112" s="93"/>
      <c r="J112" s="93"/>
      <c r="K112" s="93"/>
      <c r="L112" s="94"/>
      <c r="M112" s="1"/>
      <c r="N112" s="56"/>
      <c r="O112" s="57"/>
    </row>
    <row r="113" spans="1:15" ht="18.75" customHeight="1">
      <c r="A113" s="56"/>
      <c r="B113" s="195"/>
      <c r="C113" s="33" t="s">
        <v>17</v>
      </c>
      <c r="D113" s="93"/>
      <c r="E113" s="93"/>
      <c r="F113" s="112"/>
      <c r="G113" s="93"/>
      <c r="H113" s="93"/>
      <c r="I113" s="93"/>
      <c r="J113" s="93"/>
      <c r="K113" s="93"/>
      <c r="L113" s="94"/>
      <c r="M113" s="1"/>
      <c r="N113" s="56"/>
      <c r="O113" s="57"/>
    </row>
    <row r="114" spans="1:15" ht="28.5" customHeight="1">
      <c r="A114" s="56"/>
      <c r="B114" s="195"/>
      <c r="C114" s="60" t="s">
        <v>18</v>
      </c>
      <c r="D114" s="93">
        <v>1</v>
      </c>
      <c r="E114" s="93">
        <v>0.33</v>
      </c>
      <c r="F114" s="112">
        <f t="shared" si="3"/>
        <v>303.030303030303</v>
      </c>
      <c r="G114" s="93"/>
      <c r="H114" s="93"/>
      <c r="I114" s="93"/>
      <c r="J114" s="93"/>
      <c r="K114" s="93"/>
      <c r="L114" s="94"/>
      <c r="M114" s="1"/>
      <c r="N114" s="56"/>
      <c r="O114" s="57"/>
    </row>
    <row r="115" spans="1:15" ht="28.5" customHeight="1">
      <c r="A115" s="56"/>
      <c r="B115" s="195"/>
      <c r="C115" s="60" t="s">
        <v>19</v>
      </c>
      <c r="D115" s="93">
        <v>1.5</v>
      </c>
      <c r="E115" s="93">
        <v>0.66</v>
      </c>
      <c r="F115" s="112">
        <f t="shared" si="3"/>
        <v>227.27272727272725</v>
      </c>
      <c r="G115" s="93"/>
      <c r="H115" s="93"/>
      <c r="I115" s="93"/>
      <c r="J115" s="93"/>
      <c r="K115" s="93"/>
      <c r="L115" s="94"/>
      <c r="M115" s="1"/>
      <c r="N115" s="56"/>
      <c r="O115" s="57"/>
    </row>
    <row r="116" spans="1:15" ht="18.75" customHeight="1">
      <c r="A116" s="56"/>
      <c r="B116" s="195"/>
      <c r="C116" s="33" t="s">
        <v>20</v>
      </c>
      <c r="D116" s="93"/>
      <c r="E116" s="93"/>
      <c r="F116" s="112"/>
      <c r="G116" s="93"/>
      <c r="H116" s="93"/>
      <c r="I116" s="93"/>
      <c r="J116" s="93"/>
      <c r="K116" s="93"/>
      <c r="L116" s="94"/>
      <c r="M116" s="1"/>
      <c r="N116" s="56"/>
      <c r="O116" s="57"/>
    </row>
    <row r="117" spans="1:15" ht="17.25" customHeight="1">
      <c r="A117" s="56"/>
      <c r="B117" s="195"/>
      <c r="C117" s="60" t="s">
        <v>21</v>
      </c>
      <c r="D117" s="93">
        <v>2</v>
      </c>
      <c r="E117" s="93"/>
      <c r="F117" s="112"/>
      <c r="G117" s="93"/>
      <c r="H117" s="93"/>
      <c r="I117" s="93"/>
      <c r="J117" s="93"/>
      <c r="K117" s="93"/>
      <c r="L117" s="94"/>
      <c r="M117" s="1"/>
      <c r="N117" s="56"/>
      <c r="O117" s="57"/>
    </row>
    <row r="118" spans="1:15" ht="15.75">
      <c r="A118" s="56"/>
      <c r="B118" s="195"/>
      <c r="C118" s="60" t="s">
        <v>22</v>
      </c>
      <c r="D118" s="93">
        <v>1</v>
      </c>
      <c r="E118" s="93"/>
      <c r="F118" s="112"/>
      <c r="G118" s="93"/>
      <c r="H118" s="93"/>
      <c r="I118" s="93"/>
      <c r="J118" s="93"/>
      <c r="K118" s="93"/>
      <c r="L118" s="94"/>
      <c r="M118" s="1"/>
      <c r="N118" s="56"/>
      <c r="O118" s="57"/>
    </row>
    <row r="119" spans="1:15" ht="18" customHeight="1">
      <c r="A119" s="56"/>
      <c r="B119" s="195"/>
      <c r="C119" s="61" t="s">
        <v>29</v>
      </c>
      <c r="D119" s="93">
        <v>5</v>
      </c>
      <c r="E119" s="93"/>
      <c r="F119" s="112"/>
      <c r="G119" s="93"/>
      <c r="H119" s="93"/>
      <c r="I119" s="93"/>
      <c r="J119" s="93"/>
      <c r="K119" s="93"/>
      <c r="L119" s="94"/>
      <c r="M119" s="1"/>
      <c r="N119" s="56"/>
      <c r="O119" s="57"/>
    </row>
    <row r="120" spans="1:15" ht="36" customHeight="1">
      <c r="A120" s="56"/>
      <c r="B120" s="195"/>
      <c r="C120" s="104" t="s">
        <v>30</v>
      </c>
      <c r="D120" s="93">
        <v>27</v>
      </c>
      <c r="E120" s="93">
        <v>6.6</v>
      </c>
      <c r="F120" s="112">
        <f t="shared" si="3"/>
        <v>409.09090909090907</v>
      </c>
      <c r="G120" s="93"/>
      <c r="H120" s="93"/>
      <c r="I120" s="93"/>
      <c r="J120" s="93"/>
      <c r="K120" s="93"/>
      <c r="L120" s="94"/>
      <c r="M120" s="1"/>
      <c r="N120" s="56"/>
      <c r="O120" s="57"/>
    </row>
    <row r="121" spans="1:15" ht="20.25" customHeight="1">
      <c r="A121" s="56"/>
      <c r="B121" s="195"/>
      <c r="C121" s="105" t="s">
        <v>31</v>
      </c>
      <c r="D121" s="93">
        <v>1</v>
      </c>
      <c r="E121" s="93"/>
      <c r="F121" s="112"/>
      <c r="G121" s="93"/>
      <c r="H121" s="93"/>
      <c r="I121" s="93"/>
      <c r="J121" s="93"/>
      <c r="K121" s="93"/>
      <c r="L121" s="94"/>
      <c r="M121" s="1"/>
      <c r="N121" s="56"/>
      <c r="O121" s="57"/>
    </row>
    <row r="122" spans="1:15" ht="20.25" customHeight="1">
      <c r="A122" s="56"/>
      <c r="B122" s="195"/>
      <c r="C122" s="10" t="s">
        <v>87</v>
      </c>
      <c r="D122" s="93">
        <v>48</v>
      </c>
      <c r="E122" s="93">
        <v>14.67</v>
      </c>
      <c r="F122" s="112">
        <f t="shared" si="3"/>
        <v>327.19836400817996</v>
      </c>
      <c r="G122" s="93"/>
      <c r="H122" s="93"/>
      <c r="I122" s="93"/>
      <c r="J122" s="93"/>
      <c r="K122" s="93"/>
      <c r="L122" s="94"/>
      <c r="M122" s="1"/>
      <c r="N122" s="56"/>
      <c r="O122" s="57"/>
    </row>
    <row r="123" spans="1:15" ht="20.25" customHeight="1">
      <c r="A123" s="56"/>
      <c r="B123" s="195"/>
      <c r="C123" s="10" t="s">
        <v>88</v>
      </c>
      <c r="D123" s="93">
        <v>8</v>
      </c>
      <c r="E123" s="93">
        <v>2.99</v>
      </c>
      <c r="F123" s="112">
        <f t="shared" si="3"/>
        <v>267.55852842809367</v>
      </c>
      <c r="G123" s="93"/>
      <c r="H123" s="93"/>
      <c r="I123" s="93"/>
      <c r="J123" s="93"/>
      <c r="K123" s="93"/>
      <c r="L123" s="94"/>
      <c r="M123" s="1"/>
      <c r="N123" s="56"/>
      <c r="O123" s="57"/>
    </row>
    <row r="124" spans="1:15" ht="20.25" customHeight="1">
      <c r="A124" s="56"/>
      <c r="B124" s="195"/>
      <c r="C124" s="116" t="s">
        <v>69</v>
      </c>
      <c r="D124" s="93"/>
      <c r="E124" s="93">
        <v>1</v>
      </c>
      <c r="F124" s="112">
        <f t="shared" si="3"/>
        <v>0</v>
      </c>
      <c r="G124" s="93"/>
      <c r="H124" s="93"/>
      <c r="I124" s="93"/>
      <c r="J124" s="93"/>
      <c r="K124" s="93"/>
      <c r="L124" s="94"/>
      <c r="M124" s="1"/>
      <c r="N124" s="56"/>
      <c r="O124" s="57"/>
    </row>
    <row r="125" spans="1:15" ht="47.25">
      <c r="A125" s="56"/>
      <c r="B125" s="195"/>
      <c r="C125" s="116" t="s">
        <v>70</v>
      </c>
      <c r="D125" s="93">
        <v>2</v>
      </c>
      <c r="E125" s="93">
        <v>1</v>
      </c>
      <c r="F125" s="112">
        <f t="shared" si="3"/>
        <v>200</v>
      </c>
      <c r="G125" s="93"/>
      <c r="H125" s="93"/>
      <c r="I125" s="93"/>
      <c r="J125" s="93"/>
      <c r="K125" s="93"/>
      <c r="L125" s="94"/>
      <c r="M125" s="1"/>
      <c r="N125" s="56"/>
      <c r="O125" s="57"/>
    </row>
    <row r="126" spans="1:15" ht="15.75">
      <c r="A126" s="56"/>
      <c r="B126" s="195"/>
      <c r="C126" s="66" t="s">
        <v>84</v>
      </c>
      <c r="D126" s="126"/>
      <c r="E126" s="93"/>
      <c r="F126" s="112"/>
      <c r="G126" s="93"/>
      <c r="H126" s="93"/>
      <c r="I126" s="93"/>
      <c r="J126" s="93"/>
      <c r="K126" s="93"/>
      <c r="L126" s="94"/>
      <c r="M126" s="1"/>
      <c r="N126" s="56"/>
      <c r="O126" s="57"/>
    </row>
    <row r="127" spans="1:15" ht="15.75">
      <c r="A127" s="56"/>
      <c r="B127" s="196"/>
      <c r="C127" s="66" t="s">
        <v>85</v>
      </c>
      <c r="D127" s="93"/>
      <c r="E127" s="93"/>
      <c r="F127" s="112"/>
      <c r="G127" s="93"/>
      <c r="H127" s="93"/>
      <c r="I127" s="93"/>
      <c r="J127" s="93"/>
      <c r="K127" s="93"/>
      <c r="L127" s="94"/>
      <c r="M127" s="1"/>
      <c r="N127" s="56"/>
      <c r="O127" s="57"/>
    </row>
    <row r="128" spans="1:15" ht="17.25" customHeight="1">
      <c r="A128" s="56"/>
      <c r="B128" s="141"/>
      <c r="C128" s="16" t="s">
        <v>10</v>
      </c>
      <c r="D128" s="93"/>
      <c r="E128" s="93">
        <v>2.88</v>
      </c>
      <c r="F128" s="112"/>
      <c r="G128" s="93"/>
      <c r="H128" s="93"/>
      <c r="I128" s="93"/>
      <c r="J128" s="93"/>
      <c r="K128" s="93"/>
      <c r="L128" s="94"/>
      <c r="M128" s="1"/>
      <c r="N128" s="56"/>
      <c r="O128" s="57"/>
    </row>
    <row r="129" spans="1:15" ht="16.5" customHeight="1">
      <c r="A129" s="56"/>
      <c r="B129" s="141"/>
      <c r="C129" s="16" t="s">
        <v>57</v>
      </c>
      <c r="D129" s="93"/>
      <c r="E129" s="93">
        <v>1.38</v>
      </c>
      <c r="F129" s="112"/>
      <c r="G129" s="93"/>
      <c r="H129" s="93"/>
      <c r="I129" s="93"/>
      <c r="J129" s="93"/>
      <c r="K129" s="93"/>
      <c r="L129" s="94"/>
      <c r="M129" s="1"/>
      <c r="N129" s="56"/>
      <c r="O129" s="57"/>
    </row>
    <row r="130" spans="1:15" ht="15.75">
      <c r="A130" s="51"/>
      <c r="B130" s="95"/>
      <c r="C130" s="85" t="s">
        <v>11</v>
      </c>
      <c r="D130" s="96">
        <v>2</v>
      </c>
      <c r="E130" s="96">
        <v>1</v>
      </c>
      <c r="F130" s="87"/>
      <c r="G130" s="96"/>
      <c r="H130" s="96"/>
      <c r="I130" s="96"/>
      <c r="J130" s="96"/>
      <c r="K130" s="96"/>
      <c r="L130" s="97"/>
      <c r="M130" s="25"/>
      <c r="N130" s="51"/>
      <c r="O130" s="55"/>
    </row>
    <row r="131" spans="1:15">
      <c r="A131" s="1"/>
      <c r="B131" s="1"/>
      <c r="C131" s="17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4" spans="1:15" ht="15.75" thickBot="1"/>
    <row r="135" spans="1:15">
      <c r="A135" s="204" t="s">
        <v>0</v>
      </c>
      <c r="B135" s="207" t="s">
        <v>1</v>
      </c>
      <c r="C135" s="210" t="s">
        <v>2</v>
      </c>
      <c r="D135" s="212" t="s">
        <v>3</v>
      </c>
      <c r="E135" s="213"/>
      <c r="F135" s="213"/>
      <c r="G135" s="213"/>
      <c r="H135" s="213"/>
      <c r="I135" s="213"/>
      <c r="J135" s="213"/>
      <c r="K135" s="213"/>
      <c r="L135" s="214"/>
    </row>
    <row r="136" spans="1:15">
      <c r="A136" s="205"/>
      <c r="B136" s="208"/>
      <c r="C136" s="208"/>
      <c r="D136" s="215" t="s">
        <v>4</v>
      </c>
      <c r="E136" s="215"/>
      <c r="F136" s="215"/>
      <c r="G136" s="215" t="s">
        <v>5</v>
      </c>
      <c r="H136" s="215"/>
      <c r="I136" s="215"/>
      <c r="J136" s="215"/>
      <c r="K136" s="215"/>
      <c r="L136" s="216"/>
    </row>
    <row r="137" spans="1:15" ht="43.5" thickBot="1">
      <c r="A137" s="206"/>
      <c r="B137" s="209"/>
      <c r="C137" s="211"/>
      <c r="D137" s="2" t="s">
        <v>6</v>
      </c>
      <c r="E137" s="62" t="s">
        <v>7</v>
      </c>
      <c r="F137" s="62" t="s">
        <v>8</v>
      </c>
      <c r="G137" s="2" t="s">
        <v>6</v>
      </c>
      <c r="H137" s="62" t="s">
        <v>7</v>
      </c>
      <c r="I137" s="62" t="s">
        <v>8</v>
      </c>
      <c r="J137" s="2" t="s">
        <v>6</v>
      </c>
      <c r="K137" s="62" t="s">
        <v>7</v>
      </c>
      <c r="L137" s="4" t="s">
        <v>8</v>
      </c>
    </row>
    <row r="138" spans="1:15" ht="23.25" customHeight="1">
      <c r="A138" s="5"/>
      <c r="B138" s="197" t="s">
        <v>26</v>
      </c>
      <c r="C138" s="10" t="s">
        <v>58</v>
      </c>
      <c r="D138" s="6">
        <v>11</v>
      </c>
      <c r="E138" s="6">
        <v>11.72</v>
      </c>
      <c r="F138" s="69">
        <f>D138/E138*100</f>
        <v>93.856655290102381</v>
      </c>
      <c r="G138" s="6"/>
      <c r="H138" s="6"/>
      <c r="I138" s="8"/>
      <c r="J138" s="6"/>
      <c r="K138" s="6"/>
      <c r="L138" s="9"/>
    </row>
    <row r="139" spans="1:15" ht="23.25" customHeight="1">
      <c r="A139" s="98"/>
      <c r="B139" s="198"/>
      <c r="C139" s="16" t="s">
        <v>10</v>
      </c>
      <c r="D139" s="6">
        <v>10.5</v>
      </c>
      <c r="E139" s="6">
        <v>15.57</v>
      </c>
      <c r="F139" s="69"/>
      <c r="G139" s="6"/>
      <c r="H139" s="6"/>
      <c r="I139" s="8"/>
      <c r="J139" s="6"/>
      <c r="K139" s="6"/>
      <c r="L139" s="9"/>
    </row>
    <row r="140" spans="1:15" ht="33" customHeight="1">
      <c r="A140" s="199">
        <v>1</v>
      </c>
      <c r="B140" s="198"/>
      <c r="C140" s="16" t="s">
        <v>57</v>
      </c>
      <c r="D140" s="11">
        <v>8</v>
      </c>
      <c r="E140" s="12">
        <v>8.26</v>
      </c>
      <c r="F140" s="69"/>
      <c r="G140" s="12"/>
      <c r="H140" s="12"/>
      <c r="I140" s="14"/>
      <c r="J140" s="12"/>
      <c r="K140" s="12"/>
      <c r="L140" s="15"/>
    </row>
    <row r="141" spans="1:15" ht="21" customHeight="1">
      <c r="A141" s="200"/>
      <c r="B141" s="198"/>
      <c r="C141" s="33" t="s">
        <v>13</v>
      </c>
      <c r="D141" s="11">
        <v>12</v>
      </c>
      <c r="E141" s="12">
        <v>12.82</v>
      </c>
      <c r="F141" s="69"/>
      <c r="G141" s="12"/>
      <c r="H141" s="12"/>
      <c r="I141" s="14"/>
      <c r="J141" s="12"/>
      <c r="K141" s="12"/>
      <c r="L141" s="15"/>
    </row>
    <row r="142" spans="1:15" ht="23.25" customHeight="1">
      <c r="A142" s="200"/>
      <c r="B142" s="198"/>
      <c r="C142" s="116" t="s">
        <v>74</v>
      </c>
      <c r="D142" s="11">
        <v>1.5</v>
      </c>
      <c r="E142" s="12">
        <v>1.0900000000000001</v>
      </c>
      <c r="F142" s="69">
        <f t="shared" ref="F142:F144" si="4">D142/E142*100</f>
        <v>137.61467889908258</v>
      </c>
      <c r="G142" s="12"/>
      <c r="H142" s="12"/>
      <c r="I142" s="14"/>
      <c r="J142" s="12"/>
      <c r="K142" s="12"/>
      <c r="L142" s="15"/>
    </row>
    <row r="143" spans="1:15" ht="15.75" customHeight="1">
      <c r="A143" s="200"/>
      <c r="B143" s="198"/>
      <c r="C143" s="116" t="s">
        <v>71</v>
      </c>
      <c r="D143" s="11">
        <v>5</v>
      </c>
      <c r="E143" s="12">
        <v>0.72</v>
      </c>
      <c r="F143" s="69">
        <f t="shared" si="4"/>
        <v>694.44444444444446</v>
      </c>
      <c r="G143" s="12"/>
      <c r="H143" s="12"/>
      <c r="I143" s="14"/>
      <c r="J143" s="12"/>
      <c r="K143" s="12"/>
      <c r="L143" s="15"/>
    </row>
    <row r="144" spans="1:15" ht="15.75">
      <c r="A144" s="200"/>
      <c r="B144" s="198"/>
      <c r="C144" s="116" t="s">
        <v>72</v>
      </c>
      <c r="D144" s="11">
        <v>1</v>
      </c>
      <c r="E144" s="12">
        <v>1.26</v>
      </c>
      <c r="F144" s="69">
        <f t="shared" si="4"/>
        <v>79.365079365079367</v>
      </c>
      <c r="G144" s="12"/>
      <c r="H144" s="12"/>
      <c r="I144" s="14"/>
      <c r="J144" s="12"/>
      <c r="K144" s="12"/>
      <c r="L144" s="15"/>
    </row>
    <row r="145" spans="1:12" ht="15.75">
      <c r="A145" s="18"/>
      <c r="B145" s="19"/>
      <c r="C145" s="20" t="s">
        <v>11</v>
      </c>
      <c r="D145" s="21" t="e">
        <f>SUM(#REF!)</f>
        <v>#REF!</v>
      </c>
      <c r="E145" s="21" t="e">
        <f>SUM(#REF!)</f>
        <v>#REF!</v>
      </c>
      <c r="F145" s="6"/>
      <c r="G145" s="22">
        <f>SUM(G140:G144)</f>
        <v>0</v>
      </c>
      <c r="H145" s="22">
        <f>SUM(H140:H144)</f>
        <v>0</v>
      </c>
      <c r="I145" s="23"/>
      <c r="J145" s="22"/>
      <c r="K145" s="22"/>
      <c r="L145" s="24"/>
    </row>
    <row r="146" spans="1:12" s="135" customFormat="1" ht="15.75">
      <c r="A146" s="18"/>
      <c r="B146" s="130"/>
      <c r="C146" s="10" t="s">
        <v>58</v>
      </c>
      <c r="D146" s="131">
        <v>1.5</v>
      </c>
      <c r="E146" s="131">
        <v>1.27</v>
      </c>
      <c r="F146" s="144">
        <f>D146/E146*100</f>
        <v>118.11023622047243</v>
      </c>
      <c r="G146" s="132"/>
      <c r="H146" s="132"/>
      <c r="I146" s="133"/>
      <c r="J146" s="132"/>
      <c r="K146" s="132"/>
      <c r="L146" s="134"/>
    </row>
    <row r="147" spans="1:12" ht="22.5" customHeight="1">
      <c r="A147" s="199">
        <v>4</v>
      </c>
      <c r="B147" s="202" t="s">
        <v>15</v>
      </c>
      <c r="C147" s="16" t="s">
        <v>10</v>
      </c>
      <c r="D147" s="12">
        <v>2.5</v>
      </c>
      <c r="E147" s="12">
        <v>1.88</v>
      </c>
      <c r="F147" s="144">
        <f t="shared" ref="F147:F149" si="5">D147/E147*100</f>
        <v>132.97872340425531</v>
      </c>
      <c r="G147" s="12"/>
      <c r="H147" s="12"/>
      <c r="I147" s="13"/>
      <c r="J147" s="12"/>
      <c r="K147" s="12"/>
      <c r="L147" s="15"/>
    </row>
    <row r="148" spans="1:12" ht="22.5" customHeight="1">
      <c r="A148" s="200"/>
      <c r="B148" s="203"/>
      <c r="C148" s="16" t="s">
        <v>57</v>
      </c>
      <c r="D148" s="12">
        <v>2</v>
      </c>
      <c r="E148" s="12">
        <v>0.96</v>
      </c>
      <c r="F148" s="144">
        <f t="shared" si="5"/>
        <v>208.33333333333334</v>
      </c>
      <c r="G148" s="12"/>
      <c r="H148" s="12"/>
      <c r="I148" s="13"/>
      <c r="J148" s="12"/>
      <c r="K148" s="12"/>
      <c r="L148" s="15"/>
    </row>
    <row r="149" spans="1:12" ht="18.75" customHeight="1">
      <c r="A149" s="200"/>
      <c r="B149" s="203"/>
      <c r="C149" s="33" t="s">
        <v>13</v>
      </c>
      <c r="D149" s="12">
        <v>1</v>
      </c>
      <c r="E149" s="12">
        <v>1.83</v>
      </c>
      <c r="F149" s="144">
        <f t="shared" si="5"/>
        <v>54.644808743169392</v>
      </c>
      <c r="G149" s="12"/>
      <c r="H149" s="12"/>
      <c r="I149" s="70"/>
      <c r="J149" s="12"/>
      <c r="K149" s="12"/>
      <c r="L149" s="15"/>
    </row>
    <row r="150" spans="1:12" ht="18.75" customHeight="1">
      <c r="A150" s="200"/>
      <c r="B150" s="125"/>
      <c r="C150" s="116" t="s">
        <v>74</v>
      </c>
      <c r="D150" s="12">
        <v>0.35</v>
      </c>
      <c r="E150" s="12">
        <v>0.27</v>
      </c>
      <c r="F150" s="144">
        <f t="shared" ref="F150:F152" si="6">D150/E150*100</f>
        <v>129.62962962962962</v>
      </c>
      <c r="G150" s="12"/>
      <c r="H150" s="12"/>
      <c r="I150" s="70"/>
      <c r="J150" s="12"/>
      <c r="K150" s="12"/>
      <c r="L150" s="15"/>
    </row>
    <row r="151" spans="1:12" ht="18.75" customHeight="1">
      <c r="A151" s="200"/>
      <c r="B151" s="125"/>
      <c r="C151" s="116" t="s">
        <v>71</v>
      </c>
      <c r="D151" s="12">
        <v>1.5</v>
      </c>
      <c r="E151" s="12">
        <v>0.26</v>
      </c>
      <c r="F151" s="144">
        <f t="shared" si="6"/>
        <v>576.92307692307691</v>
      </c>
      <c r="G151" s="12"/>
      <c r="H151" s="12"/>
      <c r="I151" s="70"/>
      <c r="J151" s="12"/>
      <c r="K151" s="12"/>
      <c r="L151" s="15"/>
    </row>
    <row r="152" spans="1:12" ht="18.75" customHeight="1">
      <c r="A152" s="200"/>
      <c r="B152" s="125"/>
      <c r="C152" s="116" t="s">
        <v>72</v>
      </c>
      <c r="D152" s="12">
        <v>2.11</v>
      </c>
      <c r="E152" s="12">
        <v>0.19</v>
      </c>
      <c r="F152" s="144">
        <f t="shared" si="6"/>
        <v>1110.5263157894735</v>
      </c>
      <c r="G152" s="12"/>
      <c r="H152" s="12"/>
      <c r="I152" s="70"/>
      <c r="J152" s="12"/>
      <c r="K152" s="12"/>
      <c r="L152" s="15"/>
    </row>
    <row r="153" spans="1:12">
      <c r="A153" s="201"/>
      <c r="B153" s="65"/>
      <c r="C153" s="38" t="s">
        <v>11</v>
      </c>
      <c r="D153" s="39"/>
      <c r="E153" s="39"/>
      <c r="F153" s="40"/>
      <c r="G153" s="39"/>
      <c r="H153" s="39"/>
      <c r="I153" s="41"/>
      <c r="J153" s="39"/>
      <c r="K153" s="39"/>
      <c r="L153" s="42"/>
    </row>
    <row r="154" spans="1:12" s="135" customFormat="1" ht="15.75">
      <c r="A154" s="136"/>
      <c r="B154" s="137"/>
      <c r="C154" s="10" t="s">
        <v>58</v>
      </c>
      <c r="D154" s="132">
        <v>2.5</v>
      </c>
      <c r="E154" s="132">
        <v>2.11</v>
      </c>
      <c r="F154" s="138">
        <f>D154/E154*100</f>
        <v>118.48341232227489</v>
      </c>
      <c r="G154" s="132"/>
      <c r="H154" s="132"/>
      <c r="I154" s="133"/>
      <c r="J154" s="132"/>
      <c r="K154" s="132"/>
      <c r="L154" s="139"/>
    </row>
    <row r="155" spans="1:12" ht="24.75" customHeight="1">
      <c r="A155" s="63"/>
      <c r="B155" s="64" t="s">
        <v>16</v>
      </c>
      <c r="C155" s="16" t="s">
        <v>10</v>
      </c>
      <c r="D155" s="16">
        <v>3.5</v>
      </c>
      <c r="E155" s="16">
        <v>3.29</v>
      </c>
      <c r="F155" s="138">
        <f t="shared" ref="F155:F157" si="7">D155/E155*100</f>
        <v>106.38297872340425</v>
      </c>
      <c r="G155" s="12"/>
      <c r="H155" s="12"/>
      <c r="I155" s="13"/>
      <c r="J155" s="12"/>
      <c r="K155" s="12"/>
      <c r="L155" s="15"/>
    </row>
    <row r="156" spans="1:12" ht="23.25" customHeight="1">
      <c r="A156" s="124"/>
      <c r="B156" s="129"/>
      <c r="C156" s="16" t="s">
        <v>57</v>
      </c>
      <c r="D156" s="16">
        <v>2.5</v>
      </c>
      <c r="E156" s="16">
        <v>1.75</v>
      </c>
      <c r="F156" s="138">
        <f t="shared" si="7"/>
        <v>142.85714285714286</v>
      </c>
      <c r="G156" s="12"/>
      <c r="H156" s="12"/>
      <c r="I156" s="13"/>
      <c r="J156" s="12"/>
      <c r="K156" s="12"/>
      <c r="L156" s="15"/>
    </row>
    <row r="157" spans="1:12" ht="33.75" customHeight="1">
      <c r="A157" s="124"/>
      <c r="B157" s="129"/>
      <c r="C157" s="33" t="s">
        <v>13</v>
      </c>
      <c r="D157" s="16">
        <v>3.25</v>
      </c>
      <c r="E157" s="16">
        <v>2.77</v>
      </c>
      <c r="F157" s="138">
        <f t="shared" si="7"/>
        <v>117.32851985559567</v>
      </c>
      <c r="G157" s="12"/>
      <c r="H157" s="12"/>
      <c r="I157" s="13"/>
      <c r="J157" s="12"/>
      <c r="K157" s="12"/>
      <c r="L157" s="15"/>
    </row>
    <row r="158" spans="1:12">
      <c r="A158" s="47"/>
      <c r="B158" s="48"/>
      <c r="C158" s="38" t="s">
        <v>11</v>
      </c>
      <c r="D158" s="39"/>
      <c r="E158" s="39"/>
      <c r="F158" s="14"/>
      <c r="G158" s="39"/>
      <c r="H158" s="39"/>
      <c r="I158" s="41"/>
      <c r="J158" s="39"/>
      <c r="K158" s="39"/>
      <c r="L158" s="49"/>
    </row>
    <row r="159" spans="1:12" ht="15.75">
      <c r="A159" s="45"/>
      <c r="B159" s="46" t="s">
        <v>27</v>
      </c>
      <c r="C159" s="16"/>
      <c r="D159" s="12"/>
      <c r="E159" s="12"/>
      <c r="F159" s="14" t="e">
        <f>D159/E159*100</f>
        <v>#DIV/0!</v>
      </c>
      <c r="G159" s="12"/>
      <c r="H159" s="12"/>
      <c r="I159" s="12"/>
      <c r="J159" s="12"/>
      <c r="K159" s="12"/>
      <c r="L159" s="15"/>
    </row>
    <row r="160" spans="1:12">
      <c r="A160" s="51"/>
      <c r="B160" s="52"/>
      <c r="C160" s="38" t="s">
        <v>11</v>
      </c>
      <c r="D160" s="53"/>
      <c r="E160" s="53"/>
      <c r="F160" s="40"/>
      <c r="G160" s="53"/>
      <c r="H160" s="53"/>
      <c r="I160" s="53"/>
      <c r="J160" s="53"/>
      <c r="K160" s="53"/>
      <c r="L160" s="54"/>
    </row>
  </sheetData>
  <mergeCells count="26">
    <mergeCell ref="B97:B101"/>
    <mergeCell ref="A15:A63"/>
    <mergeCell ref="B15:B63"/>
    <mergeCell ref="N15:N63"/>
    <mergeCell ref="B6:B13"/>
    <mergeCell ref="O3:O5"/>
    <mergeCell ref="D4:F4"/>
    <mergeCell ref="G4:I4"/>
    <mergeCell ref="J4:L4"/>
    <mergeCell ref="A3:A5"/>
    <mergeCell ref="B3:B5"/>
    <mergeCell ref="C3:C5"/>
    <mergeCell ref="D3:L3"/>
    <mergeCell ref="N3:N5"/>
    <mergeCell ref="C135:C137"/>
    <mergeCell ref="D135:L135"/>
    <mergeCell ref="D136:F136"/>
    <mergeCell ref="G136:I136"/>
    <mergeCell ref="J136:L136"/>
    <mergeCell ref="B111:B127"/>
    <mergeCell ref="B138:B144"/>
    <mergeCell ref="A140:A144"/>
    <mergeCell ref="A147:A153"/>
    <mergeCell ref="B147:B149"/>
    <mergeCell ref="A135:A137"/>
    <mergeCell ref="B135:B137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O201"/>
  <sheetViews>
    <sheetView workbookViewId="0">
      <selection sqref="A1:XFD1048576"/>
    </sheetView>
  </sheetViews>
  <sheetFormatPr defaultRowHeight="15"/>
  <cols>
    <col min="1" max="1" width="6" customWidth="1"/>
    <col min="2" max="2" width="12" customWidth="1"/>
    <col min="3" max="3" width="42.5703125" customWidth="1"/>
    <col min="4" max="4" width="8.5703125" customWidth="1"/>
    <col min="5" max="5" width="15.5703125" bestFit="1" customWidth="1"/>
    <col min="6" max="6" width="10.28515625" customWidth="1"/>
    <col min="7" max="8" width="14.7109375" bestFit="1" customWidth="1"/>
    <col min="9" max="9" width="15" bestFit="1" customWidth="1"/>
    <col min="10" max="11" width="14.7109375" bestFit="1" customWidth="1"/>
    <col min="12" max="12" width="12.7109375" bestFit="1" customWidth="1"/>
  </cols>
  <sheetData>
    <row r="2" spans="1:15" ht="21.75" thickBot="1">
      <c r="C2" s="151" t="s">
        <v>194</v>
      </c>
    </row>
    <row r="3" spans="1:15">
      <c r="A3" s="204" t="s">
        <v>0</v>
      </c>
      <c r="B3" s="207" t="s">
        <v>1</v>
      </c>
      <c r="C3" s="207" t="s">
        <v>2</v>
      </c>
      <c r="D3" s="212" t="s">
        <v>3</v>
      </c>
      <c r="E3" s="213"/>
      <c r="F3" s="213"/>
      <c r="G3" s="213"/>
      <c r="H3" s="213"/>
      <c r="I3" s="213"/>
      <c r="J3" s="213"/>
      <c r="K3" s="213"/>
      <c r="L3" s="214"/>
      <c r="M3" s="1"/>
      <c r="N3" s="204"/>
      <c r="O3" s="217"/>
    </row>
    <row r="4" spans="1:15">
      <c r="A4" s="205"/>
      <c r="B4" s="208"/>
      <c r="C4" s="208"/>
      <c r="D4" s="215" t="s">
        <v>4</v>
      </c>
      <c r="E4" s="215"/>
      <c r="F4" s="215"/>
      <c r="G4" s="215" t="s">
        <v>5</v>
      </c>
      <c r="H4" s="215"/>
      <c r="I4" s="215"/>
      <c r="J4" s="215"/>
      <c r="K4" s="215"/>
      <c r="L4" s="216"/>
      <c r="M4" s="1"/>
      <c r="N4" s="205"/>
      <c r="O4" s="218"/>
    </row>
    <row r="5" spans="1:15" ht="43.5" thickBot="1">
      <c r="A5" s="206"/>
      <c r="B5" s="209"/>
      <c r="C5" s="209"/>
      <c r="D5" s="2" t="s">
        <v>6</v>
      </c>
      <c r="E5" s="149" t="s">
        <v>7</v>
      </c>
      <c r="F5" s="149" t="s">
        <v>8</v>
      </c>
      <c r="G5" s="2" t="s">
        <v>6</v>
      </c>
      <c r="H5" s="149" t="s">
        <v>7</v>
      </c>
      <c r="I5" s="149" t="s">
        <v>8</v>
      </c>
      <c r="J5" s="2" t="s">
        <v>6</v>
      </c>
      <c r="K5" s="149" t="s">
        <v>7</v>
      </c>
      <c r="L5" s="4" t="s">
        <v>8</v>
      </c>
      <c r="M5" s="1"/>
      <c r="N5" s="206"/>
      <c r="O5" s="209"/>
    </row>
    <row r="6" spans="1:15" ht="18.75">
      <c r="A6" s="5"/>
      <c r="B6" s="222" t="s">
        <v>9</v>
      </c>
      <c r="C6" s="153" t="s">
        <v>131</v>
      </c>
      <c r="D6" s="71"/>
      <c r="E6" s="71"/>
      <c r="F6" s="72"/>
      <c r="G6" s="71"/>
      <c r="H6" s="71"/>
      <c r="I6" s="73"/>
      <c r="J6" s="71"/>
      <c r="K6" s="71"/>
      <c r="L6" s="74"/>
      <c r="M6" s="1"/>
      <c r="N6" s="5"/>
      <c r="O6" s="7"/>
    </row>
    <row r="7" spans="1:15" ht="19.5" customHeight="1">
      <c r="A7" s="98"/>
      <c r="B7" s="223"/>
      <c r="C7" s="10" t="s">
        <v>132</v>
      </c>
      <c r="D7" s="71">
        <v>5</v>
      </c>
      <c r="E7" s="71">
        <v>4</v>
      </c>
      <c r="F7" s="72">
        <f>D7/E7*100</f>
        <v>125</v>
      </c>
      <c r="G7" s="71"/>
      <c r="H7" s="71"/>
      <c r="I7" s="73"/>
      <c r="J7" s="71"/>
      <c r="K7" s="71"/>
      <c r="L7" s="74"/>
      <c r="M7" s="1"/>
      <c r="N7" s="98"/>
      <c r="O7" s="7"/>
    </row>
    <row r="8" spans="1:15" ht="16.5" customHeight="1">
      <c r="A8" s="98"/>
      <c r="B8" s="223"/>
      <c r="C8" s="154" t="s">
        <v>133</v>
      </c>
      <c r="D8" s="71">
        <v>1</v>
      </c>
      <c r="E8" s="71">
        <v>0.8</v>
      </c>
      <c r="F8" s="72">
        <f t="shared" ref="F8:F71" si="0">D8/E8*100</f>
        <v>125</v>
      </c>
      <c r="G8" s="71"/>
      <c r="H8" s="71"/>
      <c r="I8" s="73"/>
      <c r="J8" s="71"/>
      <c r="K8" s="71"/>
      <c r="L8" s="74"/>
      <c r="M8" s="1"/>
      <c r="N8" s="98"/>
      <c r="O8" s="7"/>
    </row>
    <row r="9" spans="1:15" ht="31.5">
      <c r="A9" s="98"/>
      <c r="B9" s="223"/>
      <c r="C9" s="154" t="s">
        <v>144</v>
      </c>
      <c r="D9" s="71">
        <v>2</v>
      </c>
      <c r="E9" s="71">
        <v>1.06</v>
      </c>
      <c r="F9" s="72">
        <f t="shared" si="0"/>
        <v>188.67924528301884</v>
      </c>
      <c r="G9" s="71"/>
      <c r="H9" s="71"/>
      <c r="I9" s="73"/>
      <c r="J9" s="71"/>
      <c r="K9" s="71"/>
      <c r="L9" s="74"/>
      <c r="M9" s="1"/>
      <c r="N9" s="98"/>
      <c r="O9" s="7"/>
    </row>
    <row r="10" spans="1:15" ht="33" customHeight="1">
      <c r="A10" s="98"/>
      <c r="B10" s="223"/>
      <c r="C10" s="154" t="s">
        <v>145</v>
      </c>
      <c r="D10" s="71">
        <v>0.64</v>
      </c>
      <c r="E10" s="71">
        <v>0.64</v>
      </c>
      <c r="F10" s="72">
        <f t="shared" si="0"/>
        <v>100</v>
      </c>
      <c r="G10" s="71"/>
      <c r="H10" s="71"/>
      <c r="I10" s="73"/>
      <c r="J10" s="71"/>
      <c r="K10" s="71"/>
      <c r="L10" s="74"/>
      <c r="M10" s="1"/>
      <c r="N10" s="98"/>
      <c r="O10" s="7"/>
    </row>
    <row r="11" spans="1:15" ht="17.25" customHeight="1">
      <c r="A11" s="98"/>
      <c r="B11" s="223"/>
      <c r="C11" s="154" t="s">
        <v>146</v>
      </c>
      <c r="D11" s="71">
        <v>2.8</v>
      </c>
      <c r="E11" s="71">
        <v>2.67</v>
      </c>
      <c r="F11" s="72">
        <f t="shared" si="0"/>
        <v>104.8689138576779</v>
      </c>
      <c r="G11" s="71"/>
      <c r="H11" s="71"/>
      <c r="I11" s="73"/>
      <c r="J11" s="71"/>
      <c r="K11" s="71"/>
      <c r="L11" s="74"/>
      <c r="M11" s="1"/>
      <c r="N11" s="98"/>
      <c r="O11" s="7"/>
    </row>
    <row r="12" spans="1:15" ht="17.25" customHeight="1">
      <c r="A12" s="98"/>
      <c r="B12" s="223"/>
      <c r="C12" s="106" t="s">
        <v>152</v>
      </c>
      <c r="D12" s="71">
        <v>1</v>
      </c>
      <c r="E12" s="71">
        <v>0.77</v>
      </c>
      <c r="F12" s="72">
        <f t="shared" si="0"/>
        <v>129.87012987012986</v>
      </c>
      <c r="G12" s="71"/>
      <c r="H12" s="71"/>
      <c r="I12" s="73"/>
      <c r="J12" s="71"/>
      <c r="K12" s="71"/>
      <c r="L12" s="74"/>
      <c r="M12" s="1"/>
      <c r="N12" s="98"/>
      <c r="O12" s="7"/>
    </row>
    <row r="13" spans="1:15" ht="17.25" customHeight="1">
      <c r="A13" s="98"/>
      <c r="B13" s="223"/>
      <c r="C13" s="160" t="s">
        <v>155</v>
      </c>
      <c r="D13" s="71">
        <v>1.5</v>
      </c>
      <c r="E13" s="71">
        <v>1.46</v>
      </c>
      <c r="F13" s="72">
        <f t="shared" si="0"/>
        <v>102.73972602739727</v>
      </c>
      <c r="G13" s="71"/>
      <c r="H13" s="71"/>
      <c r="I13" s="73"/>
      <c r="J13" s="71"/>
      <c r="K13" s="71"/>
      <c r="L13" s="74"/>
      <c r="M13" s="1"/>
      <c r="N13" s="98"/>
      <c r="O13" s="7"/>
    </row>
    <row r="14" spans="1:15" ht="17.25" customHeight="1">
      <c r="A14" s="98"/>
      <c r="B14" s="223"/>
      <c r="C14" s="160" t="s">
        <v>156</v>
      </c>
      <c r="D14" s="71">
        <v>0.18</v>
      </c>
      <c r="E14" s="71">
        <v>0.18</v>
      </c>
      <c r="F14" s="72">
        <f t="shared" si="0"/>
        <v>100</v>
      </c>
      <c r="G14" s="71"/>
      <c r="H14" s="71"/>
      <c r="I14" s="73"/>
      <c r="J14" s="71"/>
      <c r="K14" s="71"/>
      <c r="L14" s="74"/>
      <c r="M14" s="1"/>
      <c r="N14" s="98"/>
      <c r="O14" s="7"/>
    </row>
    <row r="15" spans="1:15" ht="17.25" customHeight="1">
      <c r="A15" s="98"/>
      <c r="B15" s="223"/>
      <c r="C15" s="160" t="s">
        <v>157</v>
      </c>
      <c r="D15" s="71">
        <v>0.35</v>
      </c>
      <c r="E15" s="71">
        <v>0.35</v>
      </c>
      <c r="F15" s="72">
        <f t="shared" si="0"/>
        <v>100</v>
      </c>
      <c r="G15" s="71">
        <v>4</v>
      </c>
      <c r="H15" s="71">
        <v>3.47</v>
      </c>
      <c r="I15" s="73">
        <f>G15/H15*100</f>
        <v>115.27377521613833</v>
      </c>
      <c r="J15" s="71"/>
      <c r="K15" s="71"/>
      <c r="L15" s="74"/>
      <c r="M15" s="1"/>
      <c r="N15" s="98"/>
      <c r="O15" s="7"/>
    </row>
    <row r="16" spans="1:15" ht="17.25" customHeight="1">
      <c r="A16" s="98"/>
      <c r="B16" s="223"/>
      <c r="C16" s="172" t="s">
        <v>160</v>
      </c>
      <c r="D16" s="71">
        <v>0.5</v>
      </c>
      <c r="E16" s="71">
        <v>0.5</v>
      </c>
      <c r="F16" s="72">
        <f t="shared" si="0"/>
        <v>100</v>
      </c>
      <c r="G16" s="71"/>
      <c r="H16" s="71"/>
      <c r="I16" s="73"/>
      <c r="J16" s="71"/>
      <c r="K16" s="71"/>
      <c r="L16" s="74"/>
      <c r="M16" s="1"/>
      <c r="N16" s="98"/>
      <c r="O16" s="7"/>
    </row>
    <row r="17" spans="1:15" ht="17.25" customHeight="1">
      <c r="A17" s="98"/>
      <c r="B17" s="223"/>
      <c r="C17" s="173" t="s">
        <v>161</v>
      </c>
      <c r="D17" s="71">
        <v>0.36</v>
      </c>
      <c r="E17" s="71">
        <v>0.36</v>
      </c>
      <c r="F17" s="72">
        <f t="shared" si="0"/>
        <v>100</v>
      </c>
      <c r="G17" s="71"/>
      <c r="H17" s="71"/>
      <c r="I17" s="73"/>
      <c r="J17" s="71"/>
      <c r="K17" s="71"/>
      <c r="L17" s="74"/>
      <c r="M17" s="1"/>
      <c r="N17" s="98"/>
      <c r="O17" s="7"/>
    </row>
    <row r="18" spans="1:15" ht="17.25" customHeight="1">
      <c r="A18" s="98"/>
      <c r="B18" s="223"/>
      <c r="C18" s="116" t="s">
        <v>163</v>
      </c>
      <c r="D18" s="93">
        <v>0.06</v>
      </c>
      <c r="E18" s="93">
        <v>0.02</v>
      </c>
      <c r="F18" s="72">
        <f t="shared" si="0"/>
        <v>300</v>
      </c>
      <c r="G18" s="71"/>
      <c r="H18" s="71"/>
      <c r="I18" s="73"/>
      <c r="J18" s="71"/>
      <c r="K18" s="71"/>
      <c r="L18" s="74"/>
      <c r="M18" s="1"/>
      <c r="N18" s="98"/>
      <c r="O18" s="7"/>
    </row>
    <row r="19" spans="1:15" ht="19.5" customHeight="1">
      <c r="A19" s="98"/>
      <c r="B19" s="223"/>
      <c r="C19" s="116" t="s">
        <v>164</v>
      </c>
      <c r="D19" s="93">
        <v>0.05</v>
      </c>
      <c r="E19" s="93">
        <v>0.02</v>
      </c>
      <c r="F19" s="72">
        <f t="shared" si="0"/>
        <v>250</v>
      </c>
      <c r="G19" s="71"/>
      <c r="H19" s="71"/>
      <c r="I19" s="73"/>
      <c r="J19" s="71"/>
      <c r="K19" s="71"/>
      <c r="L19" s="74"/>
      <c r="M19" s="1"/>
      <c r="N19" s="98"/>
      <c r="O19" s="7"/>
    </row>
    <row r="20" spans="1:15" ht="19.5" customHeight="1">
      <c r="A20" s="98"/>
      <c r="B20" s="223"/>
      <c r="C20" s="116" t="s">
        <v>167</v>
      </c>
      <c r="D20" s="93">
        <v>3</v>
      </c>
      <c r="E20" s="93">
        <v>3.02</v>
      </c>
      <c r="F20" s="72">
        <f t="shared" si="0"/>
        <v>99.337748344370851</v>
      </c>
      <c r="G20" s="71"/>
      <c r="H20" s="71"/>
      <c r="I20" s="73"/>
      <c r="J20" s="71"/>
      <c r="K20" s="71"/>
      <c r="L20" s="74"/>
      <c r="M20" s="1"/>
      <c r="N20" s="98"/>
      <c r="O20" s="7"/>
    </row>
    <row r="21" spans="1:15" ht="19.5" customHeight="1">
      <c r="A21" s="98"/>
      <c r="B21" s="223"/>
      <c r="C21" s="122" t="s">
        <v>178</v>
      </c>
      <c r="D21" s="93">
        <v>4</v>
      </c>
      <c r="E21" s="93">
        <v>2.72</v>
      </c>
      <c r="F21" s="72">
        <f t="shared" si="0"/>
        <v>147.05882352941174</v>
      </c>
      <c r="G21" s="71"/>
      <c r="H21" s="71"/>
      <c r="I21" s="73"/>
      <c r="J21" s="71"/>
      <c r="K21" s="71"/>
      <c r="L21" s="74"/>
      <c r="M21" s="1"/>
      <c r="N21" s="98"/>
      <c r="O21" s="7"/>
    </row>
    <row r="22" spans="1:15" ht="15.75" customHeight="1">
      <c r="A22" s="146">
        <v>1</v>
      </c>
      <c r="B22" s="223"/>
      <c r="C22" s="104"/>
      <c r="D22" s="11"/>
      <c r="E22" s="75"/>
      <c r="F22" s="72"/>
      <c r="G22" s="75"/>
      <c r="H22" s="75"/>
      <c r="I22" s="77"/>
      <c r="J22" s="75"/>
      <c r="K22" s="75"/>
      <c r="L22" s="78"/>
      <c r="M22" s="1"/>
      <c r="N22" s="146"/>
      <c r="O22" s="10"/>
    </row>
    <row r="23" spans="1:15" ht="15.75">
      <c r="A23" s="18"/>
      <c r="B23" s="79"/>
      <c r="C23" s="20" t="s">
        <v>11</v>
      </c>
      <c r="D23" s="21"/>
      <c r="E23" s="21"/>
      <c r="F23" s="72"/>
      <c r="G23" s="80"/>
      <c r="H23" s="80"/>
      <c r="I23" s="81"/>
      <c r="J23" s="80"/>
      <c r="K23" s="80"/>
      <c r="L23" s="82"/>
      <c r="M23" s="25"/>
      <c r="N23" s="18"/>
      <c r="O23" s="26"/>
    </row>
    <row r="24" spans="1:15" ht="78.75">
      <c r="A24" s="199">
        <v>4</v>
      </c>
      <c r="B24" s="219" t="s">
        <v>12</v>
      </c>
      <c r="C24" s="59" t="s">
        <v>28</v>
      </c>
      <c r="D24" s="75">
        <v>44</v>
      </c>
      <c r="E24" s="75">
        <v>22</v>
      </c>
      <c r="F24" s="72">
        <f t="shared" si="0"/>
        <v>200</v>
      </c>
      <c r="G24" s="75"/>
      <c r="H24" s="75"/>
      <c r="I24" s="76"/>
      <c r="J24" s="75"/>
      <c r="K24" s="75"/>
      <c r="L24" s="78"/>
      <c r="M24" s="1"/>
      <c r="N24" s="199"/>
      <c r="O24" s="27"/>
    </row>
    <row r="25" spans="1:15" ht="19.5" customHeight="1">
      <c r="A25" s="200"/>
      <c r="B25" s="220"/>
      <c r="C25" s="59" t="s">
        <v>106</v>
      </c>
      <c r="D25" s="75"/>
      <c r="E25" s="75"/>
      <c r="F25" s="72"/>
      <c r="G25" s="75"/>
      <c r="H25" s="75"/>
      <c r="I25" s="76"/>
      <c r="J25" s="75"/>
      <c r="K25" s="75"/>
      <c r="L25" s="78"/>
      <c r="M25" s="1"/>
      <c r="N25" s="200"/>
      <c r="O25" s="27"/>
    </row>
    <row r="26" spans="1:15" ht="31.5">
      <c r="A26" s="200"/>
      <c r="B26" s="220"/>
      <c r="C26" s="28" t="s">
        <v>107</v>
      </c>
      <c r="D26" s="75"/>
      <c r="E26" s="75"/>
      <c r="F26" s="72"/>
      <c r="G26" s="75"/>
      <c r="H26" s="75"/>
      <c r="I26" s="76"/>
      <c r="J26" s="75"/>
      <c r="K26" s="75"/>
      <c r="L26" s="78"/>
      <c r="M26" s="1"/>
      <c r="N26" s="200"/>
      <c r="O26" s="27"/>
    </row>
    <row r="27" spans="1:15" ht="15.75">
      <c r="A27" s="200"/>
      <c r="B27" s="220"/>
      <c r="C27" s="106" t="s">
        <v>108</v>
      </c>
      <c r="D27" s="75">
        <v>0.5</v>
      </c>
      <c r="E27" s="75">
        <v>0.53</v>
      </c>
      <c r="F27" s="72">
        <f t="shared" si="0"/>
        <v>94.339622641509422</v>
      </c>
      <c r="G27" s="75"/>
      <c r="H27" s="75"/>
      <c r="I27" s="76"/>
      <c r="J27" s="75"/>
      <c r="K27" s="75"/>
      <c r="L27" s="78"/>
      <c r="M27" s="1"/>
      <c r="N27" s="200"/>
      <c r="O27" s="27"/>
    </row>
    <row r="28" spans="1:15" ht="17.25" customHeight="1">
      <c r="A28" s="200"/>
      <c r="B28" s="220"/>
      <c r="C28" s="106" t="s">
        <v>109</v>
      </c>
      <c r="D28" s="75">
        <v>0.5</v>
      </c>
      <c r="E28" s="75">
        <v>0.53</v>
      </c>
      <c r="F28" s="72">
        <f t="shared" si="0"/>
        <v>94.339622641509422</v>
      </c>
      <c r="G28" s="75"/>
      <c r="H28" s="75"/>
      <c r="I28" s="76"/>
      <c r="J28" s="75"/>
      <c r="K28" s="75"/>
      <c r="L28" s="78"/>
      <c r="M28" s="1"/>
      <c r="N28" s="200"/>
      <c r="O28" s="27"/>
    </row>
    <row r="29" spans="1:15" ht="15.75">
      <c r="A29" s="200"/>
      <c r="B29" s="220"/>
      <c r="C29" s="106" t="s">
        <v>110</v>
      </c>
      <c r="D29" s="75">
        <v>0.5</v>
      </c>
      <c r="E29" s="75">
        <v>0.53</v>
      </c>
      <c r="F29" s="72">
        <f t="shared" si="0"/>
        <v>94.339622641509422</v>
      </c>
      <c r="G29" s="75"/>
      <c r="H29" s="75"/>
      <c r="I29" s="76"/>
      <c r="J29" s="75"/>
      <c r="K29" s="75"/>
      <c r="L29" s="78"/>
      <c r="M29" s="1"/>
      <c r="N29" s="200"/>
      <c r="O29" s="27"/>
    </row>
    <row r="30" spans="1:15" ht="17.25" customHeight="1">
      <c r="A30" s="200"/>
      <c r="B30" s="220"/>
      <c r="C30" s="106" t="s">
        <v>111</v>
      </c>
      <c r="D30" s="75">
        <v>1</v>
      </c>
      <c r="E30" s="75">
        <v>0.8</v>
      </c>
      <c r="F30" s="72">
        <f t="shared" si="0"/>
        <v>125</v>
      </c>
      <c r="G30" s="75"/>
      <c r="H30" s="75"/>
      <c r="I30" s="76"/>
      <c r="J30" s="75"/>
      <c r="K30" s="75"/>
      <c r="L30" s="83"/>
      <c r="M30" s="1"/>
      <c r="N30" s="200"/>
      <c r="O30" s="27"/>
    </row>
    <row r="31" spans="1:15" ht="18" customHeight="1">
      <c r="A31" s="200"/>
      <c r="B31" s="220"/>
      <c r="C31" s="106" t="s">
        <v>112</v>
      </c>
      <c r="D31" s="75">
        <v>1</v>
      </c>
      <c r="E31" s="75">
        <v>0.8</v>
      </c>
      <c r="F31" s="72">
        <f t="shared" si="0"/>
        <v>125</v>
      </c>
      <c r="G31" s="75"/>
      <c r="H31" s="75"/>
      <c r="I31" s="76"/>
      <c r="J31" s="75"/>
      <c r="K31" s="75"/>
      <c r="L31" s="78"/>
      <c r="M31" s="1"/>
      <c r="N31" s="200"/>
      <c r="O31" s="28"/>
    </row>
    <row r="32" spans="1:15" ht="31.5">
      <c r="A32" s="200"/>
      <c r="B32" s="220"/>
      <c r="C32" s="28" t="s">
        <v>32</v>
      </c>
      <c r="D32" s="75"/>
      <c r="E32" s="75"/>
      <c r="F32" s="72"/>
      <c r="G32" s="75"/>
      <c r="H32" s="75"/>
      <c r="I32" s="76"/>
      <c r="J32" s="75"/>
      <c r="K32" s="75"/>
      <c r="L32" s="78"/>
      <c r="M32" s="1"/>
      <c r="N32" s="200"/>
      <c r="O32" s="29"/>
    </row>
    <row r="33" spans="1:15" ht="15.75">
      <c r="A33" s="200"/>
      <c r="B33" s="220"/>
      <c r="C33" s="16" t="s">
        <v>113</v>
      </c>
      <c r="D33" s="75">
        <v>0.5</v>
      </c>
      <c r="E33" s="75">
        <v>0.2</v>
      </c>
      <c r="F33" s="72">
        <f t="shared" si="0"/>
        <v>250</v>
      </c>
      <c r="G33" s="75"/>
      <c r="H33" s="75"/>
      <c r="I33" s="76"/>
      <c r="J33" s="75"/>
      <c r="K33" s="75"/>
      <c r="L33" s="78"/>
      <c r="M33" s="1"/>
      <c r="N33" s="200"/>
      <c r="O33" s="29"/>
    </row>
    <row r="34" spans="1:15" ht="15.75">
      <c r="A34" s="200"/>
      <c r="B34" s="220"/>
      <c r="C34" s="106" t="s">
        <v>114</v>
      </c>
      <c r="D34" s="75">
        <v>1</v>
      </c>
      <c r="E34" s="75">
        <v>0.6</v>
      </c>
      <c r="F34" s="72">
        <f t="shared" si="0"/>
        <v>166.66666666666669</v>
      </c>
      <c r="G34" s="75"/>
      <c r="H34" s="75"/>
      <c r="I34" s="76"/>
      <c r="J34" s="75"/>
      <c r="K34" s="75"/>
      <c r="L34" s="78"/>
      <c r="M34" s="1"/>
      <c r="N34" s="200"/>
      <c r="O34" s="30"/>
    </row>
    <row r="35" spans="1:15" ht="15.75">
      <c r="A35" s="200"/>
      <c r="B35" s="220"/>
      <c r="C35" s="106" t="s">
        <v>34</v>
      </c>
      <c r="D35" s="75">
        <v>0.5</v>
      </c>
      <c r="E35" s="75">
        <v>0.2</v>
      </c>
      <c r="F35" s="72">
        <f t="shared" si="0"/>
        <v>250</v>
      </c>
      <c r="G35" s="75"/>
      <c r="H35" s="75"/>
      <c r="I35" s="76"/>
      <c r="J35" s="75"/>
      <c r="K35" s="75"/>
      <c r="L35" s="83"/>
      <c r="M35" s="1"/>
      <c r="N35" s="200"/>
      <c r="O35" s="29"/>
    </row>
    <row r="36" spans="1:15" ht="15.75">
      <c r="A36" s="200"/>
      <c r="B36" s="220"/>
      <c r="C36" s="30" t="s">
        <v>116</v>
      </c>
      <c r="D36" s="75">
        <v>1</v>
      </c>
      <c r="E36" s="75">
        <v>1.6</v>
      </c>
      <c r="F36" s="72">
        <f t="shared" si="0"/>
        <v>62.5</v>
      </c>
      <c r="G36" s="75"/>
      <c r="H36" s="75"/>
      <c r="I36" s="76"/>
      <c r="J36" s="75"/>
      <c r="K36" s="75"/>
      <c r="L36" s="78"/>
      <c r="M36" s="1"/>
      <c r="N36" s="200"/>
      <c r="O36" s="29"/>
    </row>
    <row r="37" spans="1:15" ht="15.75">
      <c r="A37" s="200"/>
      <c r="B37" s="220"/>
      <c r="C37" s="106" t="s">
        <v>115</v>
      </c>
      <c r="D37" s="75">
        <v>1</v>
      </c>
      <c r="E37" s="75">
        <v>120</v>
      </c>
      <c r="F37" s="72">
        <f t="shared" si="0"/>
        <v>0.83333333333333337</v>
      </c>
      <c r="G37" s="75"/>
      <c r="H37" s="75"/>
      <c r="I37" s="76"/>
      <c r="J37" s="75"/>
      <c r="K37" s="75"/>
      <c r="L37" s="78"/>
      <c r="M37" s="1"/>
      <c r="N37" s="200"/>
      <c r="O37" s="29"/>
    </row>
    <row r="38" spans="1:15" ht="15.75">
      <c r="A38" s="200"/>
      <c r="B38" s="220"/>
      <c r="C38" s="30" t="s">
        <v>117</v>
      </c>
      <c r="D38" s="75">
        <v>0.5</v>
      </c>
      <c r="E38" s="75">
        <v>0.4</v>
      </c>
      <c r="F38" s="72">
        <f t="shared" si="0"/>
        <v>125</v>
      </c>
      <c r="G38" s="75"/>
      <c r="H38" s="75"/>
      <c r="I38" s="76"/>
      <c r="J38" s="75"/>
      <c r="K38" s="75"/>
      <c r="L38" s="78"/>
      <c r="M38" s="1"/>
      <c r="N38" s="200"/>
      <c r="O38" s="31"/>
    </row>
    <row r="39" spans="1:15" ht="31.5">
      <c r="A39" s="200"/>
      <c r="B39" s="220"/>
      <c r="C39" s="29" t="s">
        <v>118</v>
      </c>
      <c r="D39" s="75"/>
      <c r="E39" s="75"/>
      <c r="F39" s="72" t="e">
        <f t="shared" si="0"/>
        <v>#DIV/0!</v>
      </c>
      <c r="G39" s="75"/>
      <c r="H39" s="75"/>
      <c r="I39" s="76"/>
      <c r="J39" s="75"/>
      <c r="K39" s="75"/>
      <c r="L39" s="78"/>
      <c r="M39" s="1"/>
      <c r="N39" s="200"/>
      <c r="O39" s="31"/>
    </row>
    <row r="40" spans="1:15" ht="15.75">
      <c r="A40" s="200"/>
      <c r="B40" s="220"/>
      <c r="C40" s="106" t="s">
        <v>119</v>
      </c>
      <c r="D40" s="75">
        <v>1</v>
      </c>
      <c r="E40" s="75">
        <v>0.4</v>
      </c>
      <c r="F40" s="72">
        <f t="shared" si="0"/>
        <v>250</v>
      </c>
      <c r="G40" s="75"/>
      <c r="H40" s="75"/>
      <c r="I40" s="76"/>
      <c r="J40" s="75"/>
      <c r="K40" s="75"/>
      <c r="L40" s="78"/>
      <c r="M40" s="1"/>
      <c r="N40" s="200"/>
      <c r="O40" s="29"/>
    </row>
    <row r="41" spans="1:15" ht="15.75">
      <c r="A41" s="200"/>
      <c r="B41" s="220"/>
      <c r="C41" s="106" t="s">
        <v>120</v>
      </c>
      <c r="D41" s="75">
        <v>0.5</v>
      </c>
      <c r="E41" s="75">
        <v>0.2</v>
      </c>
      <c r="F41" s="72">
        <f t="shared" si="0"/>
        <v>250</v>
      </c>
      <c r="G41" s="75"/>
      <c r="H41" s="75"/>
      <c r="I41" s="76"/>
      <c r="J41" s="75"/>
      <c r="K41" s="75"/>
      <c r="L41" s="83"/>
      <c r="M41" s="1"/>
      <c r="N41" s="200"/>
      <c r="O41" s="29"/>
    </row>
    <row r="42" spans="1:15" ht="15.75">
      <c r="A42" s="200"/>
      <c r="B42" s="220"/>
      <c r="C42" s="106" t="s">
        <v>121</v>
      </c>
      <c r="D42" s="75">
        <v>3</v>
      </c>
      <c r="E42" s="75">
        <v>1.6</v>
      </c>
      <c r="F42" s="72">
        <f t="shared" si="0"/>
        <v>187.5</v>
      </c>
      <c r="G42" s="75"/>
      <c r="H42" s="75"/>
      <c r="I42" s="76"/>
      <c r="J42" s="75"/>
      <c r="K42" s="75"/>
      <c r="L42" s="78"/>
      <c r="M42" s="1"/>
      <c r="N42" s="200"/>
      <c r="O42" s="32"/>
    </row>
    <row r="43" spans="1:15" ht="15.75">
      <c r="A43" s="200"/>
      <c r="B43" s="220"/>
      <c r="C43" s="106" t="s">
        <v>122</v>
      </c>
      <c r="D43" s="75">
        <v>4</v>
      </c>
      <c r="E43" s="75">
        <v>2</v>
      </c>
      <c r="F43" s="72">
        <f t="shared" si="0"/>
        <v>200</v>
      </c>
      <c r="G43" s="75"/>
      <c r="H43" s="75"/>
      <c r="I43" s="76"/>
      <c r="J43" s="75"/>
      <c r="K43" s="75"/>
      <c r="L43" s="78"/>
      <c r="M43" s="1"/>
      <c r="N43" s="200"/>
      <c r="O43" s="32"/>
    </row>
    <row r="44" spans="1:15" ht="15.75">
      <c r="A44" s="200"/>
      <c r="B44" s="220"/>
      <c r="C44" s="106" t="s">
        <v>123</v>
      </c>
      <c r="D44" s="75">
        <v>1</v>
      </c>
      <c r="E44" s="75">
        <v>0.4</v>
      </c>
      <c r="F44" s="72">
        <f t="shared" si="0"/>
        <v>250</v>
      </c>
      <c r="G44" s="75"/>
      <c r="H44" s="75"/>
      <c r="I44" s="76"/>
      <c r="J44" s="75"/>
      <c r="K44" s="75"/>
      <c r="L44" s="78"/>
      <c r="M44" s="1"/>
      <c r="N44" s="200"/>
      <c r="O44" s="10"/>
    </row>
    <row r="45" spans="1:15" ht="15.75">
      <c r="A45" s="200"/>
      <c r="B45" s="220"/>
      <c r="C45" s="106" t="s">
        <v>124</v>
      </c>
      <c r="D45" s="75">
        <v>1.5</v>
      </c>
      <c r="E45" s="75">
        <v>0.8</v>
      </c>
      <c r="F45" s="72">
        <f t="shared" si="0"/>
        <v>187.5</v>
      </c>
      <c r="G45" s="75"/>
      <c r="H45" s="75"/>
      <c r="I45" s="76"/>
      <c r="J45" s="75"/>
      <c r="K45" s="75"/>
      <c r="L45" s="78"/>
      <c r="M45" s="1"/>
      <c r="N45" s="200"/>
      <c r="O45" s="16"/>
    </row>
    <row r="46" spans="1:15" ht="18" customHeight="1">
      <c r="A46" s="200"/>
      <c r="B46" s="220"/>
      <c r="C46" s="29" t="s">
        <v>125</v>
      </c>
      <c r="D46" s="75"/>
      <c r="E46" s="75"/>
      <c r="F46" s="72" t="e">
        <f t="shared" si="0"/>
        <v>#DIV/0!</v>
      </c>
      <c r="G46" s="75"/>
      <c r="H46" s="75"/>
      <c r="I46" s="76"/>
      <c r="J46" s="75"/>
      <c r="K46" s="75"/>
      <c r="L46" s="78"/>
      <c r="M46" s="1"/>
      <c r="N46" s="200"/>
      <c r="O46" s="33"/>
    </row>
    <row r="47" spans="1:15" ht="16.5" customHeight="1">
      <c r="A47" s="200"/>
      <c r="B47" s="220"/>
      <c r="C47" s="106" t="s">
        <v>126</v>
      </c>
      <c r="D47" s="75">
        <v>0.5</v>
      </c>
      <c r="E47" s="75">
        <v>0.8</v>
      </c>
      <c r="F47" s="72">
        <f t="shared" si="0"/>
        <v>62.5</v>
      </c>
      <c r="G47" s="75"/>
      <c r="H47" s="75"/>
      <c r="I47" s="76"/>
      <c r="J47" s="75"/>
      <c r="K47" s="75"/>
      <c r="L47" s="78"/>
      <c r="M47" s="1"/>
      <c r="N47" s="200"/>
      <c r="O47" s="10"/>
    </row>
    <row r="48" spans="1:15" ht="15.75">
      <c r="A48" s="200"/>
      <c r="B48" s="220"/>
      <c r="C48" s="106" t="s">
        <v>127</v>
      </c>
      <c r="D48" s="75">
        <v>0.5</v>
      </c>
      <c r="E48" s="75">
        <v>0.8</v>
      </c>
      <c r="F48" s="72">
        <f t="shared" si="0"/>
        <v>62.5</v>
      </c>
      <c r="G48" s="75"/>
      <c r="H48" s="75"/>
      <c r="I48" s="76"/>
      <c r="J48" s="75"/>
      <c r="K48" s="75"/>
      <c r="L48" s="78"/>
      <c r="M48" s="1"/>
      <c r="N48" s="200"/>
      <c r="O48" s="10"/>
    </row>
    <row r="49" spans="1:15" ht="31.5">
      <c r="A49" s="200"/>
      <c r="B49" s="220"/>
      <c r="C49" s="32" t="s">
        <v>128</v>
      </c>
      <c r="D49" s="75"/>
      <c r="E49" s="75"/>
      <c r="F49" s="72" t="e">
        <f t="shared" si="0"/>
        <v>#DIV/0!</v>
      </c>
      <c r="G49" s="75"/>
      <c r="H49" s="75"/>
      <c r="I49" s="76"/>
      <c r="J49" s="75"/>
      <c r="K49" s="75"/>
      <c r="L49" s="78"/>
      <c r="M49" s="1"/>
      <c r="N49" s="200"/>
      <c r="O49" s="34"/>
    </row>
    <row r="50" spans="1:15" ht="15.75">
      <c r="A50" s="200"/>
      <c r="B50" s="220"/>
      <c r="C50" s="152" t="s">
        <v>129</v>
      </c>
      <c r="D50" s="75">
        <v>0.5</v>
      </c>
      <c r="E50" s="75">
        <v>0.22</v>
      </c>
      <c r="F50" s="72">
        <f t="shared" si="0"/>
        <v>227.27272727272728</v>
      </c>
      <c r="G50" s="75"/>
      <c r="H50" s="75"/>
      <c r="I50" s="76"/>
      <c r="J50" s="75"/>
      <c r="K50" s="75"/>
      <c r="L50" s="83"/>
      <c r="M50" s="1"/>
      <c r="N50" s="200"/>
      <c r="O50" s="34"/>
    </row>
    <row r="51" spans="1:15" ht="15.75">
      <c r="A51" s="200"/>
      <c r="B51" s="220"/>
      <c r="C51" s="152" t="s">
        <v>46</v>
      </c>
      <c r="D51" s="75">
        <v>2</v>
      </c>
      <c r="E51" s="75">
        <v>2.13</v>
      </c>
      <c r="F51" s="72">
        <f t="shared" si="0"/>
        <v>93.896713615023472</v>
      </c>
      <c r="G51" s="75"/>
      <c r="H51" s="75"/>
      <c r="I51" s="76"/>
      <c r="J51" s="75"/>
      <c r="K51" s="75"/>
      <c r="L51" s="78"/>
      <c r="M51" s="1"/>
      <c r="N51" s="200"/>
      <c r="O51" s="34"/>
    </row>
    <row r="52" spans="1:15" ht="17.25" customHeight="1">
      <c r="A52" s="200"/>
      <c r="B52" s="220"/>
      <c r="C52" s="152" t="s">
        <v>130</v>
      </c>
      <c r="D52" s="75">
        <v>2.5</v>
      </c>
      <c r="E52" s="75">
        <v>2.67</v>
      </c>
      <c r="F52" s="72">
        <f t="shared" si="0"/>
        <v>93.632958801498134</v>
      </c>
      <c r="G52" s="75"/>
      <c r="H52" s="75"/>
      <c r="I52" s="84"/>
      <c r="J52" s="75"/>
      <c r="K52" s="75"/>
      <c r="L52" s="78"/>
      <c r="M52" s="1"/>
      <c r="N52" s="200"/>
      <c r="O52" s="36"/>
    </row>
    <row r="53" spans="1:15" ht="18.75">
      <c r="A53" s="200"/>
      <c r="B53" s="220"/>
      <c r="C53" s="153" t="s">
        <v>131</v>
      </c>
      <c r="D53" s="75"/>
      <c r="E53" s="75"/>
      <c r="F53" s="72" t="e">
        <f t="shared" si="0"/>
        <v>#DIV/0!</v>
      </c>
      <c r="G53" s="75"/>
      <c r="H53" s="75"/>
      <c r="I53" s="84"/>
      <c r="J53" s="75"/>
      <c r="K53" s="75"/>
      <c r="L53" s="78"/>
      <c r="M53" s="1"/>
      <c r="N53" s="200"/>
      <c r="O53" s="35"/>
    </row>
    <row r="54" spans="1:15" ht="15.75" customHeight="1">
      <c r="A54" s="200"/>
      <c r="B54" s="220"/>
      <c r="C54" s="10" t="s">
        <v>132</v>
      </c>
      <c r="D54" s="75">
        <v>94</v>
      </c>
      <c r="E54" s="75">
        <v>77.63</v>
      </c>
      <c r="F54" s="72">
        <f t="shared" si="0"/>
        <v>121.08720855339432</v>
      </c>
      <c r="G54" s="75"/>
      <c r="H54" s="75"/>
      <c r="I54" s="84"/>
      <c r="J54" s="75"/>
      <c r="K54" s="75"/>
      <c r="L54" s="78"/>
      <c r="M54" s="1"/>
      <c r="N54" s="200"/>
      <c r="O54" s="37"/>
    </row>
    <row r="55" spans="1:15" ht="15.75" hidden="1">
      <c r="A55" s="200"/>
      <c r="B55" s="220"/>
      <c r="C55" s="10"/>
      <c r="D55" s="75"/>
      <c r="E55" s="75"/>
      <c r="F55" s="72" t="e">
        <f t="shared" si="0"/>
        <v>#DIV/0!</v>
      </c>
      <c r="G55" s="75"/>
      <c r="H55" s="75"/>
      <c r="I55" s="84"/>
      <c r="J55" s="75"/>
      <c r="K55" s="75"/>
      <c r="L55" s="78"/>
      <c r="M55" s="1"/>
      <c r="N55" s="200"/>
      <c r="O55" s="37"/>
    </row>
    <row r="56" spans="1:15" ht="31.5">
      <c r="A56" s="200"/>
      <c r="B56" s="220"/>
      <c r="C56" s="154" t="s">
        <v>133</v>
      </c>
      <c r="D56" s="75">
        <v>24</v>
      </c>
      <c r="E56" s="75">
        <v>15.89</v>
      </c>
      <c r="F56" s="72">
        <f t="shared" si="0"/>
        <v>151.03838892385147</v>
      </c>
      <c r="G56" s="75"/>
      <c r="H56" s="75"/>
      <c r="I56" s="84"/>
      <c r="J56" s="75"/>
      <c r="K56" s="75"/>
      <c r="L56" s="78"/>
      <c r="M56" s="1"/>
      <c r="N56" s="200"/>
      <c r="O56" s="37"/>
    </row>
    <row r="57" spans="1:15" ht="15.75">
      <c r="A57" s="200"/>
      <c r="B57" s="220"/>
      <c r="C57" s="154" t="s">
        <v>134</v>
      </c>
      <c r="D57" s="75"/>
      <c r="E57" s="75"/>
      <c r="F57" s="72" t="e">
        <f t="shared" si="0"/>
        <v>#DIV/0!</v>
      </c>
      <c r="G57" s="75"/>
      <c r="H57" s="75"/>
      <c r="I57" s="84"/>
      <c r="J57" s="75"/>
      <c r="K57" s="75"/>
      <c r="L57" s="78"/>
      <c r="M57" s="1"/>
      <c r="N57" s="200"/>
      <c r="O57" s="37"/>
    </row>
    <row r="58" spans="1:15" ht="28.5" customHeight="1">
      <c r="A58" s="200"/>
      <c r="B58" s="220"/>
      <c r="C58" s="154" t="s">
        <v>135</v>
      </c>
      <c r="D58" s="75">
        <v>0.5</v>
      </c>
      <c r="E58" s="75">
        <v>0.34</v>
      </c>
      <c r="F58" s="72">
        <f t="shared" si="0"/>
        <v>147.05882352941174</v>
      </c>
      <c r="G58" s="75"/>
      <c r="H58" s="75"/>
      <c r="I58" s="84"/>
      <c r="J58" s="75"/>
      <c r="K58" s="75"/>
      <c r="L58" s="78"/>
      <c r="M58" s="1"/>
      <c r="N58" s="200"/>
      <c r="O58" s="37"/>
    </row>
    <row r="59" spans="1:15" ht="29.25" customHeight="1">
      <c r="A59" s="200"/>
      <c r="B59" s="220"/>
      <c r="C59" s="154" t="s">
        <v>136</v>
      </c>
      <c r="D59" s="75">
        <v>1.25</v>
      </c>
      <c r="E59" s="75">
        <v>0.46</v>
      </c>
      <c r="F59" s="72">
        <f t="shared" si="0"/>
        <v>271.73913043478262</v>
      </c>
      <c r="G59" s="75"/>
      <c r="H59" s="75"/>
      <c r="I59" s="84"/>
      <c r="J59" s="75"/>
      <c r="K59" s="75"/>
      <c r="L59" s="78"/>
      <c r="M59" s="1"/>
      <c r="N59" s="200"/>
      <c r="O59" s="37"/>
    </row>
    <row r="60" spans="1:15" ht="15.75">
      <c r="A60" s="200"/>
      <c r="B60" s="220"/>
      <c r="C60" s="154" t="s">
        <v>137</v>
      </c>
      <c r="D60" s="75">
        <v>0.5</v>
      </c>
      <c r="E60" s="75">
        <v>0.41</v>
      </c>
      <c r="F60" s="72">
        <f t="shared" si="0"/>
        <v>121.95121951219512</v>
      </c>
      <c r="G60" s="75"/>
      <c r="H60" s="75"/>
      <c r="I60" s="84"/>
      <c r="J60" s="75"/>
      <c r="K60" s="75"/>
      <c r="L60" s="78"/>
      <c r="M60" s="1"/>
      <c r="N60" s="200"/>
      <c r="O60" s="37"/>
    </row>
    <row r="61" spans="1:15" ht="15.75">
      <c r="A61" s="200"/>
      <c r="B61" s="220"/>
      <c r="C61" s="154" t="s">
        <v>138</v>
      </c>
      <c r="D61" s="75">
        <v>3</v>
      </c>
      <c r="E61" s="75">
        <v>3.04</v>
      </c>
      <c r="F61" s="72">
        <f t="shared" si="0"/>
        <v>98.68421052631578</v>
      </c>
      <c r="G61" s="75">
        <v>5.5</v>
      </c>
      <c r="H61" s="75">
        <v>5.19</v>
      </c>
      <c r="I61" s="84">
        <f>G61/H61*100</f>
        <v>105.97302504816955</v>
      </c>
      <c r="J61" s="75"/>
      <c r="K61" s="75"/>
      <c r="L61" s="78"/>
      <c r="M61" s="1"/>
      <c r="N61" s="200"/>
      <c r="O61" s="37"/>
    </row>
    <row r="62" spans="1:15" ht="31.5">
      <c r="A62" s="200"/>
      <c r="B62" s="220"/>
      <c r="C62" s="154" t="s">
        <v>139</v>
      </c>
      <c r="D62" s="75">
        <v>0.5</v>
      </c>
      <c r="E62" s="75">
        <v>0.44</v>
      </c>
      <c r="F62" s="72">
        <f t="shared" si="0"/>
        <v>113.63636363636364</v>
      </c>
      <c r="G62" s="75"/>
      <c r="H62" s="75"/>
      <c r="I62" s="84"/>
      <c r="J62" s="75"/>
      <c r="K62" s="75"/>
      <c r="L62" s="78"/>
      <c r="M62" s="1"/>
      <c r="N62" s="200"/>
      <c r="O62" s="37"/>
    </row>
    <row r="63" spans="1:15" ht="31.5">
      <c r="A63" s="200"/>
      <c r="B63" s="220"/>
      <c r="C63" s="155" t="s">
        <v>140</v>
      </c>
      <c r="D63" s="75"/>
      <c r="E63" s="75">
        <v>0.11</v>
      </c>
      <c r="F63" s="72">
        <f t="shared" si="0"/>
        <v>0</v>
      </c>
      <c r="G63" s="75"/>
      <c r="H63" s="75"/>
      <c r="I63" s="84"/>
      <c r="J63" s="75"/>
      <c r="K63" s="75"/>
      <c r="L63" s="78"/>
      <c r="M63" s="1"/>
      <c r="N63" s="200"/>
      <c r="O63" s="37"/>
    </row>
    <row r="64" spans="1:15" ht="20.25" customHeight="1">
      <c r="A64" s="200"/>
      <c r="B64" s="220"/>
      <c r="C64" s="16" t="s">
        <v>141</v>
      </c>
      <c r="D64" s="75"/>
      <c r="E64" s="75">
        <v>0.05</v>
      </c>
      <c r="F64" s="72">
        <f t="shared" si="0"/>
        <v>0</v>
      </c>
      <c r="G64" s="75"/>
      <c r="H64" s="75"/>
      <c r="I64" s="84"/>
      <c r="J64" s="75"/>
      <c r="K64" s="75"/>
      <c r="L64" s="78"/>
      <c r="M64" s="1"/>
      <c r="N64" s="200"/>
      <c r="O64" s="37"/>
    </row>
    <row r="65" spans="1:15" ht="15.75">
      <c r="A65" s="200"/>
      <c r="B65" s="220"/>
      <c r="C65" s="16" t="s">
        <v>142</v>
      </c>
      <c r="D65" s="75"/>
      <c r="E65" s="75">
        <v>0.04</v>
      </c>
      <c r="F65" s="72">
        <f t="shared" si="0"/>
        <v>0</v>
      </c>
      <c r="G65" s="75"/>
      <c r="H65" s="75"/>
      <c r="I65" s="84"/>
      <c r="J65" s="75"/>
      <c r="K65" s="75"/>
      <c r="L65" s="78"/>
      <c r="M65" s="1"/>
      <c r="N65" s="200"/>
      <c r="O65" s="37"/>
    </row>
    <row r="66" spans="1:15" ht="15.75">
      <c r="A66" s="200"/>
      <c r="B66" s="220"/>
      <c r="C66" s="156" t="s">
        <v>143</v>
      </c>
      <c r="D66" s="75"/>
      <c r="E66" s="75">
        <v>0.03</v>
      </c>
      <c r="F66" s="72">
        <f t="shared" si="0"/>
        <v>0</v>
      </c>
      <c r="G66" s="75"/>
      <c r="H66" s="75"/>
      <c r="I66" s="84"/>
      <c r="J66" s="75"/>
      <c r="K66" s="75"/>
      <c r="L66" s="78"/>
      <c r="M66" s="1"/>
      <c r="N66" s="200"/>
      <c r="O66" s="37"/>
    </row>
    <row r="67" spans="1:15" ht="31.5">
      <c r="A67" s="200"/>
      <c r="B67" s="220"/>
      <c r="C67" s="154" t="s">
        <v>144</v>
      </c>
      <c r="D67" s="75">
        <v>2</v>
      </c>
      <c r="E67" s="75">
        <v>4.2699999999999996</v>
      </c>
      <c r="F67" s="72">
        <f t="shared" si="0"/>
        <v>46.838407494145201</v>
      </c>
      <c r="G67" s="75"/>
      <c r="H67" s="75"/>
      <c r="I67" s="84"/>
      <c r="J67" s="75"/>
      <c r="K67" s="75"/>
      <c r="L67" s="78"/>
      <c r="M67" s="1"/>
      <c r="N67" s="200"/>
      <c r="O67" s="37"/>
    </row>
    <row r="68" spans="1:15" ht="17.25" customHeight="1">
      <c r="A68" s="200"/>
      <c r="B68" s="220"/>
      <c r="C68" s="154" t="s">
        <v>145</v>
      </c>
      <c r="D68" s="159">
        <v>1.25</v>
      </c>
      <c r="E68" s="75">
        <v>1.28</v>
      </c>
      <c r="F68" s="72">
        <f t="shared" si="0"/>
        <v>97.65625</v>
      </c>
      <c r="G68" s="75"/>
      <c r="H68" s="75"/>
      <c r="I68" s="84"/>
      <c r="J68" s="75"/>
      <c r="K68" s="75"/>
      <c r="L68" s="78"/>
      <c r="M68" s="1"/>
      <c r="N68" s="200"/>
      <c r="O68" s="37"/>
    </row>
    <row r="69" spans="1:15" ht="31.5" hidden="1">
      <c r="A69" s="201"/>
      <c r="B69" s="221"/>
      <c r="C69" s="154" t="s">
        <v>146</v>
      </c>
      <c r="D69" s="119"/>
      <c r="E69" s="86"/>
      <c r="F69" s="72" t="e">
        <f t="shared" si="0"/>
        <v>#DIV/0!</v>
      </c>
      <c r="G69" s="86"/>
      <c r="H69" s="86"/>
      <c r="I69" s="88"/>
      <c r="J69" s="86"/>
      <c r="K69" s="86"/>
      <c r="L69" s="89"/>
      <c r="M69" s="25"/>
      <c r="N69" s="201"/>
      <c r="O69" s="43"/>
    </row>
    <row r="70" spans="1:15" ht="21.75" customHeight="1">
      <c r="A70" s="147"/>
      <c r="B70" s="148"/>
      <c r="C70" s="154" t="s">
        <v>146</v>
      </c>
      <c r="D70" s="120">
        <v>5.5</v>
      </c>
      <c r="E70" s="120">
        <v>5.34</v>
      </c>
      <c r="F70" s="72">
        <f t="shared" si="0"/>
        <v>102.99625468164794</v>
      </c>
      <c r="G70" s="112"/>
      <c r="H70" s="112"/>
      <c r="I70" s="113"/>
      <c r="J70" s="112"/>
      <c r="K70" s="112"/>
      <c r="L70" s="114"/>
      <c r="M70" s="25"/>
      <c r="N70" s="147"/>
      <c r="O70" s="43"/>
    </row>
    <row r="71" spans="1:15" ht="17.25" customHeight="1">
      <c r="A71" s="147"/>
      <c r="B71" s="148"/>
      <c r="C71" s="59" t="s">
        <v>147</v>
      </c>
      <c r="D71" s="120">
        <v>1</v>
      </c>
      <c r="E71" s="158">
        <v>0.17</v>
      </c>
      <c r="F71" s="72">
        <f t="shared" si="0"/>
        <v>588.23529411764696</v>
      </c>
      <c r="G71" s="112"/>
      <c r="H71" s="112"/>
      <c r="I71" s="113"/>
      <c r="J71" s="112"/>
      <c r="K71" s="112"/>
      <c r="L71" s="114"/>
      <c r="M71" s="25"/>
      <c r="N71" s="147"/>
      <c r="O71" s="43"/>
    </row>
    <row r="72" spans="1:15" ht="17.25" customHeight="1">
      <c r="A72" s="147"/>
      <c r="B72" s="148"/>
      <c r="C72" s="111" t="s">
        <v>148</v>
      </c>
      <c r="D72" s="157">
        <v>8.5</v>
      </c>
      <c r="E72" s="112">
        <v>8.6</v>
      </c>
      <c r="F72" s="72">
        <f t="shared" ref="F72:F132" si="1">D72/E72*100</f>
        <v>98.83720930232559</v>
      </c>
      <c r="G72" s="112"/>
      <c r="H72" s="112"/>
      <c r="I72" s="113"/>
      <c r="J72" s="112"/>
      <c r="K72" s="112"/>
      <c r="L72" s="114"/>
      <c r="M72" s="25"/>
      <c r="N72" s="147"/>
      <c r="O72" s="43"/>
    </row>
    <row r="73" spans="1:15" ht="17.25" customHeight="1">
      <c r="A73" s="147"/>
      <c r="B73" s="148"/>
      <c r="C73" s="111" t="s">
        <v>149</v>
      </c>
      <c r="D73" s="120">
        <v>1</v>
      </c>
      <c r="E73" s="112">
        <v>1</v>
      </c>
      <c r="F73" s="72">
        <f t="shared" si="1"/>
        <v>100</v>
      </c>
      <c r="G73" s="112"/>
      <c r="H73" s="112"/>
      <c r="I73" s="113"/>
      <c r="J73" s="112"/>
      <c r="K73" s="112"/>
      <c r="L73" s="114"/>
      <c r="M73" s="25"/>
      <c r="N73" s="147"/>
      <c r="O73" s="43"/>
    </row>
    <row r="74" spans="1:15" ht="17.25" customHeight="1">
      <c r="A74" s="147"/>
      <c r="B74" s="148"/>
      <c r="C74" s="104" t="s">
        <v>150</v>
      </c>
      <c r="D74" s="120">
        <v>3</v>
      </c>
      <c r="E74" s="112">
        <v>0.5</v>
      </c>
      <c r="F74" s="72">
        <f t="shared" si="1"/>
        <v>600</v>
      </c>
      <c r="G74" s="112"/>
      <c r="H74" s="112"/>
      <c r="I74" s="113"/>
      <c r="J74" s="112"/>
      <c r="K74" s="112"/>
      <c r="L74" s="114"/>
      <c r="M74" s="25"/>
      <c r="N74" s="147"/>
      <c r="O74" s="43"/>
    </row>
    <row r="75" spans="1:15" ht="17.25" customHeight="1">
      <c r="A75" s="147"/>
      <c r="B75" s="148"/>
      <c r="C75" s="106" t="s">
        <v>151</v>
      </c>
      <c r="D75" s="120">
        <v>2</v>
      </c>
      <c r="E75" s="112">
        <v>2.06</v>
      </c>
      <c r="F75" s="72">
        <f t="shared" si="1"/>
        <v>97.087378640776706</v>
      </c>
      <c r="G75" s="112"/>
      <c r="H75" s="112"/>
      <c r="I75" s="113"/>
      <c r="J75" s="112"/>
      <c r="K75" s="112"/>
      <c r="L75" s="114"/>
      <c r="M75" s="25"/>
      <c r="N75" s="147"/>
      <c r="O75" s="43"/>
    </row>
    <row r="76" spans="1:15" ht="17.25" customHeight="1">
      <c r="A76" s="147"/>
      <c r="B76" s="148"/>
      <c r="C76" s="106" t="s">
        <v>152</v>
      </c>
      <c r="D76" s="120">
        <v>2.5</v>
      </c>
      <c r="E76" s="112">
        <v>2.2999999999999998</v>
      </c>
      <c r="F76" s="72">
        <f t="shared" si="1"/>
        <v>108.69565217391306</v>
      </c>
      <c r="G76" s="112"/>
      <c r="H76" s="112"/>
      <c r="I76" s="113"/>
      <c r="J76" s="112"/>
      <c r="K76" s="112"/>
      <c r="L76" s="114"/>
      <c r="M76" s="25"/>
      <c r="N76" s="147"/>
      <c r="O76" s="43"/>
    </row>
    <row r="77" spans="1:15" ht="17.25" customHeight="1">
      <c r="A77" s="147"/>
      <c r="B77" s="148"/>
      <c r="C77" s="115" t="s">
        <v>67</v>
      </c>
      <c r="D77" s="120">
        <v>4.5</v>
      </c>
      <c r="E77" s="112">
        <v>2.2000000000000002</v>
      </c>
      <c r="F77" s="72">
        <f t="shared" si="1"/>
        <v>204.54545454545453</v>
      </c>
      <c r="G77" s="112">
        <v>20</v>
      </c>
      <c r="H77" s="112">
        <v>20</v>
      </c>
      <c r="I77" s="113">
        <f>G77/H77</f>
        <v>1</v>
      </c>
      <c r="J77" s="112"/>
      <c r="K77" s="112"/>
      <c r="L77" s="114"/>
      <c r="M77" s="25"/>
      <c r="N77" s="147"/>
      <c r="O77" s="43"/>
    </row>
    <row r="78" spans="1:15" ht="18" customHeight="1">
      <c r="A78" s="147"/>
      <c r="B78" s="148"/>
      <c r="C78" s="160" t="s">
        <v>153</v>
      </c>
      <c r="D78" s="120">
        <v>3.5</v>
      </c>
      <c r="E78" s="112">
        <v>3.61</v>
      </c>
      <c r="F78" s="72">
        <f t="shared" si="1"/>
        <v>96.952908587257625</v>
      </c>
      <c r="G78" s="112"/>
      <c r="H78" s="112"/>
      <c r="I78" s="113"/>
      <c r="J78" s="112"/>
      <c r="K78" s="112"/>
      <c r="L78" s="114"/>
      <c r="M78" s="25"/>
      <c r="N78" s="147"/>
      <c r="O78" s="43"/>
    </row>
    <row r="79" spans="1:15" ht="17.25" customHeight="1">
      <c r="A79" s="147"/>
      <c r="B79" s="148"/>
      <c r="C79" s="160" t="s">
        <v>154</v>
      </c>
      <c r="D79" s="120">
        <v>13</v>
      </c>
      <c r="E79" s="112">
        <v>7.8</v>
      </c>
      <c r="F79" s="72">
        <f t="shared" si="1"/>
        <v>166.66666666666669</v>
      </c>
      <c r="G79" s="112"/>
      <c r="H79" s="112"/>
      <c r="I79" s="113"/>
      <c r="J79" s="112"/>
      <c r="K79" s="112"/>
      <c r="L79" s="114"/>
      <c r="M79" s="25"/>
      <c r="N79" s="147"/>
      <c r="O79" s="43"/>
    </row>
    <row r="80" spans="1:15" ht="17.25" customHeight="1">
      <c r="A80" s="147"/>
      <c r="B80" s="148"/>
      <c r="C80" s="160" t="s">
        <v>155</v>
      </c>
      <c r="D80" s="120">
        <v>4.5</v>
      </c>
      <c r="E80" s="112">
        <v>4.3899999999999997</v>
      </c>
      <c r="F80" s="72">
        <f t="shared" si="1"/>
        <v>102.50569476082005</v>
      </c>
      <c r="G80" s="112"/>
      <c r="H80" s="112"/>
      <c r="I80" s="113"/>
      <c r="J80" s="112"/>
      <c r="K80" s="112"/>
      <c r="L80" s="114"/>
      <c r="M80" s="25"/>
      <c r="N80" s="147"/>
      <c r="O80" s="43"/>
    </row>
    <row r="81" spans="1:15" ht="17.25" customHeight="1">
      <c r="A81" s="147"/>
      <c r="B81" s="148"/>
      <c r="C81" s="160" t="s">
        <v>156</v>
      </c>
      <c r="D81" s="158">
        <v>3.25</v>
      </c>
      <c r="E81" s="112">
        <v>3.26</v>
      </c>
      <c r="F81" s="72">
        <f t="shared" si="1"/>
        <v>99.693251533742327</v>
      </c>
      <c r="G81" s="112"/>
      <c r="H81" s="112"/>
      <c r="I81" s="113"/>
      <c r="J81" s="112"/>
      <c r="K81" s="112"/>
      <c r="L81" s="114"/>
      <c r="M81" s="25"/>
      <c r="N81" s="147"/>
      <c r="O81" s="43"/>
    </row>
    <row r="82" spans="1:15" ht="17.25" customHeight="1">
      <c r="A82" s="147"/>
      <c r="B82" s="148"/>
      <c r="C82" s="160" t="s">
        <v>157</v>
      </c>
      <c r="D82" s="158">
        <v>6.25</v>
      </c>
      <c r="E82" s="112">
        <v>6.3</v>
      </c>
      <c r="F82" s="72">
        <f t="shared" si="1"/>
        <v>99.206349206349216</v>
      </c>
      <c r="G82" s="112">
        <v>62</v>
      </c>
      <c r="H82" s="112">
        <v>62.58</v>
      </c>
      <c r="I82" s="113">
        <f t="shared" ref="I82:I84" si="2">G82/H82</f>
        <v>0.99073186321508477</v>
      </c>
      <c r="J82" s="112"/>
      <c r="K82" s="112"/>
      <c r="L82" s="114"/>
      <c r="M82" s="25"/>
      <c r="N82" s="147"/>
      <c r="O82" s="43"/>
    </row>
    <row r="83" spans="1:15" ht="17.25" customHeight="1">
      <c r="A83" s="147"/>
      <c r="B83" s="148"/>
      <c r="C83" s="170" t="s">
        <v>158</v>
      </c>
      <c r="D83" s="120">
        <v>0.75</v>
      </c>
      <c r="E83" s="112">
        <v>0.69</v>
      </c>
      <c r="F83" s="72">
        <f t="shared" si="1"/>
        <v>108.69565217391306</v>
      </c>
      <c r="G83" s="112"/>
      <c r="H83" s="112"/>
      <c r="I83" s="113"/>
      <c r="J83" s="112"/>
      <c r="K83" s="112"/>
      <c r="L83" s="114"/>
      <c r="M83" s="25"/>
      <c r="N83" s="147"/>
      <c r="O83" s="43"/>
    </row>
    <row r="84" spans="1:15" ht="17.25" customHeight="1">
      <c r="A84" s="147"/>
      <c r="B84" s="148"/>
      <c r="C84" s="174" t="s">
        <v>159</v>
      </c>
      <c r="D84" s="120">
        <v>4.5</v>
      </c>
      <c r="E84" s="112">
        <v>3.64</v>
      </c>
      <c r="F84" s="72">
        <f t="shared" si="1"/>
        <v>123.62637362637363</v>
      </c>
      <c r="G84" s="112">
        <v>14.5</v>
      </c>
      <c r="H84" s="112">
        <v>14.4</v>
      </c>
      <c r="I84" s="113">
        <f t="shared" si="2"/>
        <v>1.0069444444444444</v>
      </c>
      <c r="J84" s="112"/>
      <c r="K84" s="112"/>
      <c r="L84" s="114"/>
      <c r="M84" s="25"/>
      <c r="N84" s="147"/>
      <c r="O84" s="43"/>
    </row>
    <row r="85" spans="1:15" ht="17.25" customHeight="1">
      <c r="A85" s="147"/>
      <c r="B85" s="148"/>
      <c r="C85" s="172" t="s">
        <v>160</v>
      </c>
      <c r="D85" s="120">
        <v>2</v>
      </c>
      <c r="E85" s="112">
        <v>2</v>
      </c>
      <c r="F85" s="72">
        <f t="shared" si="1"/>
        <v>100</v>
      </c>
      <c r="G85" s="112"/>
      <c r="H85" s="112"/>
      <c r="I85" s="113"/>
      <c r="J85" s="112"/>
      <c r="K85" s="112"/>
      <c r="L85" s="114"/>
      <c r="M85" s="25"/>
      <c r="N85" s="147"/>
      <c r="O85" s="43"/>
    </row>
    <row r="86" spans="1:15" ht="17.25" customHeight="1">
      <c r="A86" s="147"/>
      <c r="B86" s="148"/>
      <c r="C86" s="173" t="s">
        <v>161</v>
      </c>
      <c r="D86" s="120">
        <v>0.75</v>
      </c>
      <c r="E86" s="112">
        <v>0.72</v>
      </c>
      <c r="F86" s="72">
        <f t="shared" si="1"/>
        <v>104.16666666666667</v>
      </c>
      <c r="G86" s="112"/>
      <c r="H86" s="112"/>
      <c r="I86" s="113"/>
      <c r="J86" s="112"/>
      <c r="K86" s="112"/>
      <c r="L86" s="114"/>
      <c r="M86" s="25"/>
      <c r="N86" s="147"/>
      <c r="O86" s="43"/>
    </row>
    <row r="87" spans="1:15" ht="17.25" customHeight="1">
      <c r="A87" s="147"/>
      <c r="B87" s="148"/>
      <c r="C87" s="16" t="s">
        <v>162</v>
      </c>
      <c r="D87" s="120">
        <v>4.5</v>
      </c>
      <c r="E87" s="112">
        <v>4.5</v>
      </c>
      <c r="F87" s="72">
        <f t="shared" si="1"/>
        <v>100</v>
      </c>
      <c r="G87" s="112"/>
      <c r="H87" s="112"/>
      <c r="I87" s="113"/>
      <c r="J87" s="112"/>
      <c r="K87" s="112"/>
      <c r="L87" s="114"/>
      <c r="M87" s="25"/>
      <c r="N87" s="147"/>
      <c r="O87" s="43"/>
    </row>
    <row r="88" spans="1:15" ht="17.25" customHeight="1">
      <c r="A88" s="147"/>
      <c r="B88" s="148"/>
      <c r="C88" s="116" t="s">
        <v>163</v>
      </c>
      <c r="D88" s="93">
        <v>2</v>
      </c>
      <c r="E88" s="93">
        <v>0.24</v>
      </c>
      <c r="F88" s="72">
        <f t="shared" si="1"/>
        <v>833.33333333333337</v>
      </c>
      <c r="G88" s="112"/>
      <c r="H88" s="112"/>
      <c r="I88" s="113"/>
      <c r="J88" s="112"/>
      <c r="K88" s="112"/>
      <c r="L88" s="114"/>
      <c r="M88" s="25"/>
      <c r="N88" s="147"/>
      <c r="O88" s="43"/>
    </row>
    <row r="89" spans="1:15" ht="17.25" customHeight="1">
      <c r="A89" s="147"/>
      <c r="B89" s="148"/>
      <c r="C89" s="116" t="s">
        <v>164</v>
      </c>
      <c r="D89" s="93">
        <v>1.5</v>
      </c>
      <c r="E89" s="93">
        <v>0.2</v>
      </c>
      <c r="F89" s="72">
        <f t="shared" si="1"/>
        <v>750</v>
      </c>
      <c r="G89" s="112"/>
      <c r="H89" s="112"/>
      <c r="I89" s="113"/>
      <c r="J89" s="112"/>
      <c r="K89" s="112"/>
      <c r="L89" s="114"/>
      <c r="M89" s="25"/>
      <c r="N89" s="147"/>
      <c r="O89" s="43"/>
    </row>
    <row r="90" spans="1:15" ht="17.25" customHeight="1">
      <c r="A90" s="147"/>
      <c r="B90" s="148"/>
      <c r="C90" s="116" t="s">
        <v>165</v>
      </c>
      <c r="D90" s="120">
        <v>0.62</v>
      </c>
      <c r="E90" s="112">
        <v>0.75</v>
      </c>
      <c r="F90" s="72">
        <f t="shared" si="1"/>
        <v>82.666666666666671</v>
      </c>
      <c r="G90" s="112"/>
      <c r="H90" s="112"/>
      <c r="I90" s="113"/>
      <c r="J90" s="112"/>
      <c r="K90" s="112"/>
      <c r="L90" s="114"/>
      <c r="M90" s="25"/>
      <c r="N90" s="147"/>
      <c r="O90" s="43"/>
    </row>
    <row r="91" spans="1:15" ht="17.25" customHeight="1">
      <c r="A91" s="147"/>
      <c r="B91" s="148"/>
      <c r="C91" s="116" t="s">
        <v>166</v>
      </c>
      <c r="D91" s="158">
        <v>0.24</v>
      </c>
      <c r="E91" s="112">
        <v>0.25</v>
      </c>
      <c r="F91" s="72">
        <f t="shared" si="1"/>
        <v>96</v>
      </c>
      <c r="G91" s="112"/>
      <c r="H91" s="112"/>
      <c r="I91" s="113"/>
      <c r="J91" s="112"/>
      <c r="K91" s="112"/>
      <c r="L91" s="114"/>
      <c r="M91" s="25"/>
      <c r="N91" s="147"/>
      <c r="O91" s="43"/>
    </row>
    <row r="92" spans="1:15" ht="17.25" customHeight="1">
      <c r="A92" s="147"/>
      <c r="B92" s="148"/>
      <c r="C92" s="116" t="s">
        <v>167</v>
      </c>
      <c r="D92" s="120">
        <v>6</v>
      </c>
      <c r="E92" s="112">
        <v>6.05</v>
      </c>
      <c r="F92" s="72">
        <f t="shared" si="1"/>
        <v>99.173553719008268</v>
      </c>
      <c r="G92" s="112"/>
      <c r="H92" s="112"/>
      <c r="I92" s="113"/>
      <c r="J92" s="112"/>
      <c r="K92" s="112"/>
      <c r="L92" s="114"/>
      <c r="M92" s="25"/>
      <c r="N92" s="147"/>
      <c r="O92" s="43"/>
    </row>
    <row r="93" spans="1:15" ht="17.25" customHeight="1">
      <c r="A93" s="147"/>
      <c r="B93" s="148"/>
      <c r="C93" s="116" t="s">
        <v>168</v>
      </c>
      <c r="D93" s="112">
        <v>1</v>
      </c>
      <c r="E93" s="112">
        <v>0.72</v>
      </c>
      <c r="F93" s="72">
        <f t="shared" si="1"/>
        <v>138.88888888888889</v>
      </c>
      <c r="G93" s="112"/>
      <c r="H93" s="112"/>
      <c r="I93" s="113"/>
      <c r="J93" s="112"/>
      <c r="K93" s="112"/>
      <c r="L93" s="114"/>
      <c r="M93" s="25"/>
      <c r="N93" s="147"/>
      <c r="O93" s="43"/>
    </row>
    <row r="94" spans="1:15" ht="17.25" customHeight="1">
      <c r="A94" s="147"/>
      <c r="B94" s="148"/>
      <c r="C94" s="116" t="s">
        <v>169</v>
      </c>
      <c r="D94" s="112">
        <v>0.5</v>
      </c>
      <c r="E94" s="112">
        <v>0.34</v>
      </c>
      <c r="F94" s="72">
        <f t="shared" si="1"/>
        <v>147.05882352941174</v>
      </c>
      <c r="G94" s="112"/>
      <c r="H94" s="112"/>
      <c r="I94" s="113"/>
      <c r="J94" s="112"/>
      <c r="K94" s="112"/>
      <c r="L94" s="114"/>
      <c r="M94" s="25"/>
      <c r="N94" s="147"/>
      <c r="O94" s="43"/>
    </row>
    <row r="95" spans="1:15" ht="17.25" customHeight="1">
      <c r="A95" s="147"/>
      <c r="B95" s="148"/>
      <c r="C95" s="163" t="s">
        <v>170</v>
      </c>
      <c r="D95" s="112"/>
      <c r="E95" s="112">
        <v>0.8</v>
      </c>
      <c r="F95" s="72">
        <f t="shared" si="1"/>
        <v>0</v>
      </c>
      <c r="G95" s="112"/>
      <c r="H95" s="112"/>
      <c r="I95" s="113"/>
      <c r="J95" s="112"/>
      <c r="K95" s="112"/>
      <c r="L95" s="114"/>
      <c r="M95" s="25"/>
      <c r="N95" s="147"/>
      <c r="O95" s="43"/>
    </row>
    <row r="96" spans="1:15" ht="17.25" customHeight="1">
      <c r="A96" s="147"/>
      <c r="B96" s="148"/>
      <c r="C96" s="163" t="s">
        <v>171</v>
      </c>
      <c r="D96" s="112"/>
      <c r="E96" s="112"/>
      <c r="F96" s="72"/>
      <c r="G96" s="112"/>
      <c r="H96" s="112"/>
      <c r="I96" s="113"/>
      <c r="J96" s="112"/>
      <c r="K96" s="112"/>
      <c r="L96" s="114"/>
      <c r="M96" s="25"/>
      <c r="N96" s="147"/>
      <c r="O96" s="43"/>
    </row>
    <row r="97" spans="1:15" ht="17.25" customHeight="1">
      <c r="A97" s="147"/>
      <c r="B97" s="148"/>
      <c r="C97" s="163" t="s">
        <v>172</v>
      </c>
      <c r="D97" s="112"/>
      <c r="E97" s="112">
        <v>27.56</v>
      </c>
      <c r="F97" s="72">
        <f t="shared" si="1"/>
        <v>0</v>
      </c>
      <c r="G97" s="112"/>
      <c r="H97" s="112"/>
      <c r="I97" s="113"/>
      <c r="J97" s="112"/>
      <c r="K97" s="112"/>
      <c r="L97" s="114"/>
      <c r="M97" s="25"/>
      <c r="N97" s="147"/>
      <c r="O97" s="43"/>
    </row>
    <row r="98" spans="1:15" ht="17.25" customHeight="1">
      <c r="A98" s="147"/>
      <c r="B98" s="148"/>
      <c r="C98" s="48" t="s">
        <v>173</v>
      </c>
      <c r="D98" s="112"/>
      <c r="E98" s="112">
        <v>0.8</v>
      </c>
      <c r="F98" s="72">
        <f t="shared" si="1"/>
        <v>0</v>
      </c>
      <c r="G98" s="112"/>
      <c r="H98" s="112"/>
      <c r="I98" s="113"/>
      <c r="J98" s="112"/>
      <c r="K98" s="112"/>
      <c r="L98" s="114"/>
      <c r="M98" s="25"/>
      <c r="N98" s="147"/>
      <c r="O98" s="43"/>
    </row>
    <row r="99" spans="1:15" ht="17.25" customHeight="1">
      <c r="A99" s="147"/>
      <c r="B99" s="148"/>
      <c r="C99" s="163" t="s">
        <v>174</v>
      </c>
      <c r="D99" s="112"/>
      <c r="E99" s="112">
        <v>2.78</v>
      </c>
      <c r="F99" s="72">
        <f t="shared" si="1"/>
        <v>0</v>
      </c>
      <c r="G99" s="112"/>
      <c r="H99" s="112"/>
      <c r="I99" s="113"/>
      <c r="J99" s="112"/>
      <c r="K99" s="112"/>
      <c r="L99" s="114"/>
      <c r="M99" s="25"/>
      <c r="N99" s="147"/>
      <c r="O99" s="43"/>
    </row>
    <row r="100" spans="1:15" ht="17.25" customHeight="1">
      <c r="A100" s="147"/>
      <c r="B100" s="148"/>
      <c r="C100" s="163" t="s">
        <v>175</v>
      </c>
      <c r="D100" s="112"/>
      <c r="E100" s="112">
        <v>1.07</v>
      </c>
      <c r="F100" s="72">
        <f t="shared" si="1"/>
        <v>0</v>
      </c>
      <c r="G100" s="112"/>
      <c r="H100" s="112"/>
      <c r="I100" s="113"/>
      <c r="J100" s="112"/>
      <c r="K100" s="112"/>
      <c r="L100" s="114"/>
      <c r="M100" s="25"/>
      <c r="N100" s="147"/>
      <c r="O100" s="43"/>
    </row>
    <row r="101" spans="1:15" s="135" customFormat="1" ht="17.25" customHeight="1">
      <c r="A101" s="136"/>
      <c r="B101" s="195" t="s">
        <v>14</v>
      </c>
      <c r="C101" s="164" t="s">
        <v>176</v>
      </c>
      <c r="D101" s="112"/>
      <c r="E101" s="112">
        <v>1.07</v>
      </c>
      <c r="F101" s="72">
        <f t="shared" si="1"/>
        <v>0</v>
      </c>
      <c r="G101" s="112"/>
      <c r="H101" s="112"/>
      <c r="I101" s="113"/>
      <c r="J101" s="112"/>
      <c r="K101" s="112"/>
      <c r="L101" s="114"/>
      <c r="M101" s="25"/>
      <c r="N101" s="136"/>
      <c r="O101" s="43"/>
    </row>
    <row r="102" spans="1:15" s="135" customFormat="1" ht="17.25" customHeight="1">
      <c r="A102" s="136"/>
      <c r="B102" s="195"/>
      <c r="C102" s="164" t="s">
        <v>177</v>
      </c>
      <c r="D102" s="112"/>
      <c r="E102" s="112">
        <v>0.4</v>
      </c>
      <c r="F102" s="72">
        <f t="shared" si="1"/>
        <v>0</v>
      </c>
      <c r="G102" s="112"/>
      <c r="H102" s="112"/>
      <c r="I102" s="113"/>
      <c r="J102" s="112"/>
      <c r="K102" s="112"/>
      <c r="L102" s="114"/>
      <c r="M102" s="25"/>
      <c r="N102" s="136"/>
      <c r="O102" s="43"/>
    </row>
    <row r="103" spans="1:15" s="135" customFormat="1" ht="17.25" customHeight="1">
      <c r="A103" s="136"/>
      <c r="B103" s="195"/>
      <c r="C103" s="163" t="s">
        <v>182</v>
      </c>
      <c r="D103" s="112"/>
      <c r="E103" s="112">
        <v>1.1200000000000001</v>
      </c>
      <c r="F103" s="72">
        <f t="shared" si="1"/>
        <v>0</v>
      </c>
      <c r="G103" s="112"/>
      <c r="H103" s="112"/>
      <c r="I103" s="113"/>
      <c r="J103" s="112"/>
      <c r="K103" s="112"/>
      <c r="L103" s="114"/>
      <c r="M103" s="25"/>
      <c r="N103" s="136"/>
      <c r="O103" s="43"/>
    </row>
    <row r="104" spans="1:15" s="135" customFormat="1" ht="17.25" customHeight="1">
      <c r="A104" s="136"/>
      <c r="B104" s="195"/>
      <c r="C104" s="163" t="s">
        <v>183</v>
      </c>
      <c r="D104" s="112"/>
      <c r="E104" s="112">
        <v>2.29</v>
      </c>
      <c r="F104" s="72">
        <f t="shared" si="1"/>
        <v>0</v>
      </c>
      <c r="G104" s="112"/>
      <c r="H104" s="112"/>
      <c r="I104" s="113"/>
      <c r="J104" s="112"/>
      <c r="K104" s="112"/>
      <c r="L104" s="114"/>
      <c r="M104" s="25"/>
      <c r="N104" s="136"/>
      <c r="O104" s="43"/>
    </row>
    <row r="105" spans="1:15" s="135" customFormat="1" ht="17.25" customHeight="1">
      <c r="A105" s="136"/>
      <c r="B105" s="195"/>
      <c r="C105" s="163" t="s">
        <v>184</v>
      </c>
      <c r="D105" s="112"/>
      <c r="E105" s="112">
        <v>0.4</v>
      </c>
      <c r="F105" s="72">
        <f t="shared" si="1"/>
        <v>0</v>
      </c>
      <c r="G105" s="112"/>
      <c r="H105" s="112"/>
      <c r="I105" s="113"/>
      <c r="J105" s="112"/>
      <c r="K105" s="112"/>
      <c r="L105" s="114"/>
      <c r="M105" s="25"/>
      <c r="N105" s="136"/>
      <c r="O105" s="43"/>
    </row>
    <row r="106" spans="1:15" s="135" customFormat="1" ht="17.25" customHeight="1">
      <c r="A106" s="136"/>
      <c r="B106" s="195"/>
      <c r="C106" s="142" t="s">
        <v>90</v>
      </c>
      <c r="D106" s="112">
        <v>58</v>
      </c>
      <c r="E106" s="112">
        <v>96.26</v>
      </c>
      <c r="F106" s="72">
        <f t="shared" si="1"/>
        <v>60.25348015790567</v>
      </c>
      <c r="G106" s="112">
        <v>58</v>
      </c>
      <c r="H106" s="112">
        <v>96.26</v>
      </c>
      <c r="I106" s="113">
        <f>G106/H106</f>
        <v>0.6025348015790567</v>
      </c>
      <c r="J106" s="112"/>
      <c r="K106" s="112"/>
      <c r="L106" s="114"/>
      <c r="M106" s="25"/>
      <c r="N106" s="136"/>
      <c r="O106" s="43"/>
    </row>
    <row r="107" spans="1:15" s="135" customFormat="1" ht="17.25" customHeight="1">
      <c r="A107" s="136"/>
      <c r="B107" s="195"/>
      <c r="C107" s="142" t="s">
        <v>91</v>
      </c>
      <c r="D107" s="112"/>
      <c r="E107" s="112"/>
      <c r="F107" s="72"/>
      <c r="G107" s="112">
        <v>9</v>
      </c>
      <c r="H107" s="112">
        <v>13.33</v>
      </c>
      <c r="I107" s="113">
        <f t="shared" ref="I107:I115" si="3">G107/H107</f>
        <v>0.67516879219804948</v>
      </c>
      <c r="J107" s="112"/>
      <c r="K107" s="112"/>
      <c r="L107" s="114"/>
      <c r="M107" s="25"/>
      <c r="N107" s="136"/>
      <c r="O107" s="43"/>
    </row>
    <row r="108" spans="1:15" s="135" customFormat="1" ht="17.25" customHeight="1">
      <c r="A108" s="136"/>
      <c r="B108" s="195"/>
      <c r="C108" s="142" t="s">
        <v>92</v>
      </c>
      <c r="D108" s="112"/>
      <c r="E108" s="112"/>
      <c r="F108" s="72"/>
      <c r="G108" s="112">
        <v>12</v>
      </c>
      <c r="H108" s="112">
        <v>30</v>
      </c>
      <c r="I108" s="113">
        <f t="shared" si="3"/>
        <v>0.4</v>
      </c>
      <c r="J108" s="112"/>
      <c r="K108" s="112"/>
      <c r="L108" s="114"/>
      <c r="M108" s="25"/>
      <c r="N108" s="136"/>
      <c r="O108" s="43"/>
    </row>
    <row r="109" spans="1:15" s="135" customFormat="1" ht="17.25" customHeight="1">
      <c r="A109" s="136"/>
      <c r="B109" s="195"/>
      <c r="C109" s="142" t="s">
        <v>100</v>
      </c>
      <c r="D109" s="112"/>
      <c r="E109" s="112"/>
      <c r="F109" s="72"/>
      <c r="G109" s="112">
        <v>35</v>
      </c>
      <c r="H109" s="112">
        <v>40</v>
      </c>
      <c r="I109" s="113">
        <f t="shared" si="3"/>
        <v>0.875</v>
      </c>
      <c r="J109" s="112"/>
      <c r="K109" s="112"/>
      <c r="L109" s="114"/>
      <c r="M109" s="25"/>
      <c r="N109" s="136"/>
      <c r="O109" s="43"/>
    </row>
    <row r="110" spans="1:15" s="135" customFormat="1" ht="17.25" customHeight="1">
      <c r="A110" s="136"/>
      <c r="B110" s="195"/>
      <c r="C110" s="142" t="s">
        <v>186</v>
      </c>
      <c r="D110" s="112"/>
      <c r="E110" s="112"/>
      <c r="F110" s="72"/>
      <c r="G110" s="112">
        <v>59</v>
      </c>
      <c r="H110" s="112"/>
      <c r="I110" s="113"/>
      <c r="J110" s="112"/>
      <c r="K110" s="112"/>
      <c r="L110" s="114"/>
      <c r="M110" s="25"/>
      <c r="N110" s="136"/>
      <c r="O110" s="43"/>
    </row>
    <row r="111" spans="1:15" s="135" customFormat="1" ht="17.25" customHeight="1">
      <c r="A111" s="136"/>
      <c r="B111" s="195"/>
      <c r="C111" s="142" t="s">
        <v>188</v>
      </c>
      <c r="D111" s="112"/>
      <c r="E111" s="112"/>
      <c r="F111" s="72"/>
      <c r="G111" s="112">
        <v>84</v>
      </c>
      <c r="H111" s="112">
        <v>76</v>
      </c>
      <c r="I111" s="113">
        <f t="shared" si="3"/>
        <v>1.1052631578947369</v>
      </c>
      <c r="J111" s="112"/>
      <c r="K111" s="112"/>
      <c r="L111" s="114"/>
      <c r="M111" s="25"/>
      <c r="N111" s="136"/>
      <c r="O111" s="43"/>
    </row>
    <row r="112" spans="1:15" s="135" customFormat="1" ht="17.25" customHeight="1">
      <c r="A112" s="136"/>
      <c r="B112" s="195"/>
      <c r="C112" s="176" t="s">
        <v>189</v>
      </c>
      <c r="D112" s="112"/>
      <c r="E112" s="112"/>
      <c r="F112" s="72"/>
      <c r="G112" s="112">
        <v>20</v>
      </c>
      <c r="H112" s="112">
        <v>20.71</v>
      </c>
      <c r="I112" s="113">
        <f t="shared" si="3"/>
        <v>0.96571704490584254</v>
      </c>
      <c r="J112" s="112"/>
      <c r="K112" s="112"/>
      <c r="L112" s="114"/>
      <c r="M112" s="25"/>
      <c r="N112" s="136"/>
      <c r="O112" s="43"/>
    </row>
    <row r="113" spans="1:15" s="135" customFormat="1" ht="17.25" customHeight="1">
      <c r="A113" s="136"/>
      <c r="B113" s="195"/>
      <c r="C113" s="142" t="s">
        <v>103</v>
      </c>
      <c r="D113" s="112"/>
      <c r="E113" s="112"/>
      <c r="F113" s="72"/>
      <c r="G113" s="112">
        <v>2</v>
      </c>
      <c r="H113" s="112">
        <v>1.22</v>
      </c>
      <c r="I113" s="113">
        <f t="shared" si="3"/>
        <v>1.639344262295082</v>
      </c>
      <c r="J113" s="112"/>
      <c r="K113" s="112"/>
      <c r="L113" s="114"/>
      <c r="M113" s="25"/>
      <c r="N113" s="136"/>
      <c r="O113" s="43"/>
    </row>
    <row r="114" spans="1:15" s="135" customFormat="1" ht="17.25" customHeight="1">
      <c r="A114" s="136"/>
      <c r="B114" s="195"/>
      <c r="C114" s="178" t="s">
        <v>190</v>
      </c>
      <c r="D114" s="112"/>
      <c r="E114" s="112"/>
      <c r="F114" s="72"/>
      <c r="G114" s="112">
        <v>63</v>
      </c>
      <c r="H114" s="112">
        <v>98.44</v>
      </c>
      <c r="I114" s="113">
        <f t="shared" si="3"/>
        <v>0.63998374644453471</v>
      </c>
      <c r="J114" s="112"/>
      <c r="K114" s="112"/>
      <c r="L114" s="114"/>
      <c r="M114" s="25"/>
      <c r="N114" s="136"/>
      <c r="O114" s="43"/>
    </row>
    <row r="115" spans="1:15" s="135" customFormat="1" ht="17.25" customHeight="1">
      <c r="A115" s="136"/>
      <c r="B115" s="195"/>
      <c r="C115" s="178" t="s">
        <v>191</v>
      </c>
      <c r="D115" s="112"/>
      <c r="E115" s="112"/>
      <c r="F115" s="72"/>
      <c r="G115" s="112">
        <v>245</v>
      </c>
      <c r="H115" s="112">
        <v>402.23</v>
      </c>
      <c r="I115" s="113">
        <f t="shared" si="3"/>
        <v>0.6091042438405887</v>
      </c>
      <c r="J115" s="112"/>
      <c r="K115" s="112"/>
      <c r="L115" s="114"/>
      <c r="M115" s="25"/>
      <c r="N115" s="136"/>
      <c r="O115" s="43"/>
    </row>
    <row r="116" spans="1:15" s="135" customFormat="1" ht="17.25" customHeight="1">
      <c r="A116" s="136"/>
      <c r="B116" s="195"/>
      <c r="C116" s="178" t="s">
        <v>192</v>
      </c>
      <c r="D116" s="112"/>
      <c r="E116" s="112"/>
      <c r="F116" s="72"/>
      <c r="G116" s="112">
        <v>4.5</v>
      </c>
      <c r="H116" s="112"/>
      <c r="I116" s="113"/>
      <c r="J116" s="112"/>
      <c r="K116" s="112"/>
      <c r="L116" s="114"/>
      <c r="M116" s="25"/>
      <c r="N116" s="136"/>
      <c r="O116" s="43"/>
    </row>
    <row r="117" spans="1:15" s="135" customFormat="1" ht="17.25" customHeight="1">
      <c r="A117" s="136"/>
      <c r="B117" s="195"/>
      <c r="C117" s="121" t="s">
        <v>77</v>
      </c>
      <c r="D117" s="112"/>
      <c r="E117" s="112"/>
      <c r="F117" s="72"/>
      <c r="G117" s="112"/>
      <c r="H117" s="112"/>
      <c r="I117" s="113"/>
      <c r="J117" s="112"/>
      <c r="K117" s="112"/>
      <c r="L117" s="114"/>
      <c r="M117" s="25"/>
      <c r="N117" s="136"/>
      <c r="O117" s="43"/>
    </row>
    <row r="118" spans="1:15" s="135" customFormat="1" ht="17.25" customHeight="1">
      <c r="A118" s="136"/>
      <c r="B118" s="195"/>
      <c r="C118" s="122" t="s">
        <v>178</v>
      </c>
      <c r="D118" s="112">
        <v>4</v>
      </c>
      <c r="E118" s="112">
        <v>2.72</v>
      </c>
      <c r="F118" s="72">
        <f t="shared" si="1"/>
        <v>147.05882352941174</v>
      </c>
      <c r="G118" s="112"/>
      <c r="H118" s="112"/>
      <c r="I118" s="113"/>
      <c r="J118" s="112"/>
      <c r="K118" s="112"/>
      <c r="L118" s="114"/>
      <c r="M118" s="25"/>
      <c r="N118" s="136"/>
      <c r="O118" s="43"/>
    </row>
    <row r="119" spans="1:15" s="135" customFormat="1" ht="17.25" customHeight="1">
      <c r="A119" s="136"/>
      <c r="B119" s="195"/>
      <c r="C119" s="122" t="s">
        <v>80</v>
      </c>
      <c r="D119" s="112">
        <v>60</v>
      </c>
      <c r="E119" s="112">
        <v>61</v>
      </c>
      <c r="F119" s="72">
        <f t="shared" si="1"/>
        <v>98.360655737704917</v>
      </c>
      <c r="G119" s="112"/>
      <c r="H119" s="112"/>
      <c r="I119" s="113"/>
      <c r="J119" s="112"/>
      <c r="K119" s="112"/>
      <c r="L119" s="114"/>
      <c r="M119" s="25"/>
      <c r="N119" s="136"/>
      <c r="O119" s="43"/>
    </row>
    <row r="120" spans="1:15" s="135" customFormat="1" ht="17.25" customHeight="1">
      <c r="A120" s="136"/>
      <c r="B120" s="195"/>
      <c r="C120" s="122" t="s">
        <v>179</v>
      </c>
      <c r="D120" s="112">
        <v>155</v>
      </c>
      <c r="E120" s="112"/>
      <c r="F120" s="72"/>
      <c r="G120" s="112"/>
      <c r="H120" s="112"/>
      <c r="I120" s="113"/>
      <c r="J120" s="112"/>
      <c r="K120" s="112"/>
      <c r="L120" s="114"/>
      <c r="M120" s="25"/>
      <c r="N120" s="136"/>
      <c r="O120" s="43"/>
    </row>
    <row r="121" spans="1:15" s="135" customFormat="1" ht="17.25" customHeight="1">
      <c r="A121" s="136"/>
      <c r="B121" s="195"/>
      <c r="C121" s="165" t="s">
        <v>185</v>
      </c>
      <c r="D121" s="112">
        <v>2</v>
      </c>
      <c r="E121" s="112">
        <v>2</v>
      </c>
      <c r="F121" s="72">
        <f t="shared" si="1"/>
        <v>100</v>
      </c>
      <c r="G121" s="112"/>
      <c r="H121" s="112"/>
      <c r="I121" s="113"/>
      <c r="J121" s="112"/>
      <c r="K121" s="112"/>
      <c r="L121" s="114"/>
      <c r="M121" s="25"/>
      <c r="N121" s="136"/>
      <c r="O121" s="43"/>
    </row>
    <row r="122" spans="1:15" s="135" customFormat="1" ht="17.25" customHeight="1">
      <c r="A122" s="136"/>
      <c r="B122" s="195"/>
      <c r="C122" s="66" t="s">
        <v>180</v>
      </c>
      <c r="D122" s="112">
        <v>5</v>
      </c>
      <c r="E122" s="112">
        <v>5.5</v>
      </c>
      <c r="F122" s="72">
        <f t="shared" si="1"/>
        <v>90.909090909090907</v>
      </c>
      <c r="G122" s="112"/>
      <c r="H122" s="112"/>
      <c r="I122" s="113"/>
      <c r="J122" s="112"/>
      <c r="K122" s="112"/>
      <c r="L122" s="114"/>
      <c r="M122" s="25"/>
      <c r="N122" s="136"/>
      <c r="O122" s="43"/>
    </row>
    <row r="123" spans="1:15" s="135" customFormat="1" ht="17.25" customHeight="1">
      <c r="A123" s="136"/>
      <c r="B123" s="195"/>
      <c r="C123" s="66" t="s">
        <v>181</v>
      </c>
      <c r="D123" s="112">
        <v>2.5</v>
      </c>
      <c r="E123" s="112">
        <v>2.5</v>
      </c>
      <c r="F123" s="72">
        <f t="shared" si="1"/>
        <v>100</v>
      </c>
      <c r="G123" s="112"/>
      <c r="H123" s="112"/>
      <c r="I123" s="113"/>
      <c r="J123" s="112"/>
      <c r="K123" s="112"/>
      <c r="L123" s="114"/>
      <c r="M123" s="25"/>
      <c r="N123" s="136"/>
      <c r="O123" s="43"/>
    </row>
    <row r="124" spans="1:15" ht="15.75">
      <c r="A124" s="147"/>
      <c r="B124" s="195"/>
      <c r="C124" s="66" t="s">
        <v>84</v>
      </c>
      <c r="D124" s="75"/>
      <c r="E124" s="75"/>
      <c r="F124" s="72"/>
      <c r="G124" s="75"/>
      <c r="H124" s="75"/>
      <c r="I124" s="76"/>
      <c r="J124" s="75"/>
      <c r="K124" s="75"/>
      <c r="L124" s="78"/>
      <c r="M124" s="1"/>
      <c r="N124" s="147"/>
      <c r="O124" s="27"/>
    </row>
    <row r="125" spans="1:15" ht="15.75">
      <c r="A125" s="147"/>
      <c r="B125" s="195"/>
      <c r="C125" s="66" t="s">
        <v>85</v>
      </c>
      <c r="D125" s="75">
        <v>0.25</v>
      </c>
      <c r="E125" s="75">
        <v>0.22</v>
      </c>
      <c r="F125" s="72">
        <f t="shared" si="1"/>
        <v>113.63636363636364</v>
      </c>
      <c r="G125" s="75"/>
      <c r="H125" s="75"/>
      <c r="I125" s="76"/>
      <c r="J125" s="75"/>
      <c r="K125" s="75"/>
      <c r="L125" s="78"/>
      <c r="M125" s="1"/>
      <c r="N125" s="147"/>
      <c r="O125" s="27"/>
    </row>
    <row r="126" spans="1:15" ht="15.75">
      <c r="A126" s="147"/>
      <c r="B126" s="195"/>
      <c r="C126" s="66" t="s">
        <v>86</v>
      </c>
      <c r="D126" s="75">
        <v>72</v>
      </c>
      <c r="E126" s="75"/>
      <c r="F126" s="72"/>
      <c r="G126" s="75"/>
      <c r="H126" s="75"/>
      <c r="I126" s="76"/>
      <c r="J126" s="75"/>
      <c r="K126" s="75"/>
      <c r="L126" s="78"/>
      <c r="M126" s="1"/>
      <c r="N126" s="147"/>
      <c r="O126" s="27"/>
    </row>
    <row r="127" spans="1:15" ht="15.75">
      <c r="A127" s="171"/>
      <c r="B127" s="195"/>
      <c r="C127" s="66"/>
      <c r="D127" s="75"/>
      <c r="E127" s="75"/>
      <c r="F127" s="72"/>
      <c r="G127" s="75"/>
      <c r="H127" s="75"/>
      <c r="I127" s="76"/>
      <c r="J127" s="75"/>
      <c r="K127" s="75"/>
      <c r="L127" s="78"/>
      <c r="M127" s="1"/>
      <c r="N127" s="171"/>
      <c r="O127" s="27"/>
    </row>
    <row r="128" spans="1:15" ht="15.75">
      <c r="A128" s="171"/>
      <c r="B128" s="195"/>
      <c r="C128" s="66"/>
      <c r="D128" s="75"/>
      <c r="E128" s="75"/>
      <c r="F128" s="72"/>
      <c r="G128" s="75"/>
      <c r="H128" s="75"/>
      <c r="I128" s="76"/>
      <c r="J128" s="75"/>
      <c r="K128" s="75"/>
      <c r="L128" s="78"/>
      <c r="M128" s="1"/>
      <c r="N128" s="171"/>
      <c r="O128" s="27"/>
    </row>
    <row r="129" spans="1:15" s="169" customFormat="1" ht="15.75">
      <c r="A129" s="166"/>
      <c r="B129" s="195"/>
      <c r="C129" s="167"/>
      <c r="D129" s="86"/>
      <c r="E129" s="86"/>
      <c r="F129" s="72"/>
      <c r="G129" s="86"/>
      <c r="H129" s="86"/>
      <c r="I129" s="88"/>
      <c r="J129" s="86"/>
      <c r="K129" s="86"/>
      <c r="L129" s="89"/>
      <c r="M129" s="168"/>
      <c r="N129" s="166"/>
      <c r="O129" s="38"/>
    </row>
    <row r="130" spans="1:15" ht="15.75">
      <c r="A130" s="147"/>
      <c r="B130" s="195"/>
      <c r="C130" s="170" t="s">
        <v>158</v>
      </c>
      <c r="D130" s="75">
        <v>0.75</v>
      </c>
      <c r="E130" s="75">
        <v>0.69</v>
      </c>
      <c r="F130" s="72">
        <f t="shared" si="1"/>
        <v>108.69565217391306</v>
      </c>
      <c r="G130" s="75"/>
      <c r="H130" s="75"/>
      <c r="I130" s="76"/>
      <c r="J130" s="75"/>
      <c r="K130" s="75"/>
      <c r="L130" s="78"/>
      <c r="M130" s="1"/>
      <c r="N130" s="147"/>
      <c r="O130" s="27"/>
    </row>
    <row r="131" spans="1:15" ht="15.75">
      <c r="A131" s="147"/>
      <c r="B131" s="195"/>
      <c r="C131" s="116" t="s">
        <v>165</v>
      </c>
      <c r="D131" s="75">
        <v>0.75</v>
      </c>
      <c r="E131" s="75">
        <v>0.62</v>
      </c>
      <c r="F131" s="72">
        <f t="shared" si="1"/>
        <v>120.96774193548387</v>
      </c>
      <c r="G131" s="75"/>
      <c r="H131" s="75"/>
      <c r="I131" s="76"/>
      <c r="J131" s="75"/>
      <c r="K131" s="75"/>
      <c r="L131" s="78"/>
      <c r="M131" s="1"/>
      <c r="N131" s="147"/>
      <c r="O131" s="27"/>
    </row>
    <row r="132" spans="1:15" ht="15.75">
      <c r="A132" s="171"/>
      <c r="B132" s="195"/>
      <c r="C132" s="116" t="s">
        <v>166</v>
      </c>
      <c r="D132" s="75">
        <v>0.25</v>
      </c>
      <c r="E132" s="75">
        <v>0.24</v>
      </c>
      <c r="F132" s="72">
        <f t="shared" si="1"/>
        <v>104.16666666666667</v>
      </c>
      <c r="G132" s="75"/>
      <c r="H132" s="75"/>
      <c r="I132" s="76"/>
      <c r="J132" s="75"/>
      <c r="K132" s="75"/>
      <c r="L132" s="78"/>
      <c r="M132" s="1"/>
      <c r="N132" s="171"/>
      <c r="O132" s="27"/>
    </row>
    <row r="133" spans="1:15" ht="15.75">
      <c r="A133" s="171"/>
      <c r="B133" s="195"/>
      <c r="C133" s="116" t="s">
        <v>187</v>
      </c>
      <c r="D133" s="75"/>
      <c r="E133" s="75"/>
      <c r="F133" s="112"/>
      <c r="G133" s="75">
        <v>3</v>
      </c>
      <c r="H133" s="75">
        <v>2.59</v>
      </c>
      <c r="I133" s="76">
        <f>G133/H133</f>
        <v>1.1583011583011584</v>
      </c>
      <c r="J133" s="75"/>
      <c r="K133" s="75"/>
      <c r="L133" s="78"/>
      <c r="M133" s="1"/>
      <c r="N133" s="171"/>
      <c r="O133" s="27"/>
    </row>
    <row r="134" spans="1:15" ht="15" customHeight="1">
      <c r="A134" s="147"/>
      <c r="B134" s="195"/>
      <c r="C134" s="116"/>
      <c r="D134" s="75"/>
      <c r="E134" s="75"/>
      <c r="F134" s="112"/>
      <c r="G134" s="75"/>
      <c r="H134" s="75"/>
      <c r="I134" s="76"/>
      <c r="J134" s="75"/>
      <c r="K134" s="75"/>
      <c r="L134" s="78"/>
      <c r="M134" s="1"/>
      <c r="N134" s="147"/>
      <c r="O134" s="27"/>
    </row>
    <row r="135" spans="1:15" ht="15.75">
      <c r="A135" s="47"/>
      <c r="B135" s="91"/>
      <c r="C135" s="163"/>
      <c r="D135" s="86"/>
      <c r="E135" s="86"/>
      <c r="F135" s="112"/>
      <c r="G135" s="86"/>
      <c r="H135" s="86"/>
      <c r="I135" s="88"/>
      <c r="J135" s="86"/>
      <c r="K135" s="86"/>
      <c r="L135" s="92"/>
      <c r="M135" s="25"/>
      <c r="N135" s="50"/>
      <c r="O135" s="43"/>
    </row>
    <row r="136" spans="1:15" ht="17.25" customHeight="1">
      <c r="A136" s="45"/>
      <c r="B136" s="194" t="s">
        <v>89</v>
      </c>
      <c r="C136" s="154" t="s">
        <v>134</v>
      </c>
      <c r="D136" s="75"/>
      <c r="E136" s="75"/>
      <c r="F136" s="112"/>
      <c r="G136" s="75"/>
      <c r="H136" s="75"/>
      <c r="I136" s="75"/>
      <c r="J136" s="75"/>
      <c r="K136" s="75"/>
      <c r="L136" s="78"/>
      <c r="M136" s="1"/>
      <c r="N136" s="45"/>
      <c r="O136" s="27"/>
    </row>
    <row r="137" spans="1:15" ht="15.75" customHeight="1">
      <c r="A137" s="56"/>
      <c r="B137" s="195"/>
      <c r="C137" s="154" t="s">
        <v>135</v>
      </c>
      <c r="D137" s="93">
        <v>0.5</v>
      </c>
      <c r="E137" s="93">
        <v>0.17</v>
      </c>
      <c r="F137" s="112">
        <f>D137/E137*100</f>
        <v>294.11764705882348</v>
      </c>
      <c r="G137" s="93"/>
      <c r="H137" s="93"/>
      <c r="I137" s="93"/>
      <c r="J137" s="93"/>
      <c r="K137" s="93"/>
      <c r="L137" s="94"/>
      <c r="M137" s="1"/>
      <c r="N137" s="56"/>
      <c r="O137" s="57"/>
    </row>
    <row r="138" spans="1:15" ht="14.25" customHeight="1">
      <c r="A138" s="56"/>
      <c r="B138" s="195"/>
      <c r="C138" s="154" t="s">
        <v>136</v>
      </c>
      <c r="D138" s="93">
        <v>0.75</v>
      </c>
      <c r="E138" s="93">
        <v>0.23</v>
      </c>
      <c r="F138" s="112">
        <f t="shared" ref="F138:F147" si="4">D138/E138*100</f>
        <v>326.08695652173913</v>
      </c>
      <c r="G138" s="93"/>
      <c r="H138" s="93"/>
      <c r="I138" s="93"/>
      <c r="J138" s="93"/>
      <c r="K138" s="93"/>
      <c r="L138" s="94"/>
      <c r="M138" s="1"/>
      <c r="N138" s="56"/>
      <c r="O138" s="57"/>
    </row>
    <row r="139" spans="1:15" ht="18.75" customHeight="1">
      <c r="A139" s="56"/>
      <c r="B139" s="195"/>
      <c r="C139" s="111" t="s">
        <v>149</v>
      </c>
      <c r="D139" s="93"/>
      <c r="E139" s="93">
        <v>0.05</v>
      </c>
      <c r="F139" s="112">
        <f t="shared" si="4"/>
        <v>0</v>
      </c>
      <c r="G139" s="93"/>
      <c r="H139" s="93"/>
      <c r="I139" s="93"/>
      <c r="J139" s="93"/>
      <c r="K139" s="93"/>
      <c r="L139" s="94"/>
      <c r="M139" s="1"/>
      <c r="N139" s="56"/>
      <c r="O139" s="57"/>
    </row>
    <row r="140" spans="1:15" ht="17.25" customHeight="1">
      <c r="A140" s="56"/>
      <c r="B140" s="195"/>
      <c r="C140" s="104" t="s">
        <v>150</v>
      </c>
      <c r="D140" s="93"/>
      <c r="E140" s="93">
        <v>0.02</v>
      </c>
      <c r="F140" s="112">
        <f t="shared" si="4"/>
        <v>0</v>
      </c>
      <c r="G140" s="93"/>
      <c r="H140" s="93"/>
      <c r="I140" s="93"/>
      <c r="J140" s="93"/>
      <c r="K140" s="93"/>
      <c r="L140" s="94"/>
      <c r="M140" s="1"/>
      <c r="N140" s="56"/>
      <c r="O140" s="57"/>
    </row>
    <row r="141" spans="1:15" ht="17.25" customHeight="1">
      <c r="A141" s="56"/>
      <c r="B141" s="195"/>
      <c r="C141" s="115" t="s">
        <v>67</v>
      </c>
      <c r="D141" s="93">
        <v>2.2000000000000002</v>
      </c>
      <c r="E141" s="93">
        <v>2.2000000000000002</v>
      </c>
      <c r="F141" s="112">
        <f t="shared" si="4"/>
        <v>100</v>
      </c>
      <c r="G141" s="93"/>
      <c r="H141" s="93"/>
      <c r="I141" s="93"/>
      <c r="J141" s="93"/>
      <c r="K141" s="93"/>
      <c r="L141" s="94"/>
      <c r="M141" s="1"/>
      <c r="N141" s="56"/>
      <c r="O141" s="57"/>
    </row>
    <row r="142" spans="1:15" ht="18" customHeight="1">
      <c r="A142" s="56"/>
      <c r="B142" s="195"/>
      <c r="C142" s="174" t="s">
        <v>159</v>
      </c>
      <c r="D142" s="93">
        <v>2.19</v>
      </c>
      <c r="E142" s="93">
        <v>1.82</v>
      </c>
      <c r="F142" s="112">
        <f t="shared" si="4"/>
        <v>120.32967032967032</v>
      </c>
      <c r="G142" s="93">
        <v>7.5</v>
      </c>
      <c r="H142" s="93">
        <v>7.2</v>
      </c>
      <c r="I142" s="93">
        <f>G142/H142*100</f>
        <v>104.16666666666667</v>
      </c>
      <c r="J142" s="93"/>
      <c r="K142" s="93"/>
      <c r="L142" s="94"/>
      <c r="M142" s="1"/>
      <c r="N142" s="56"/>
      <c r="O142" s="57"/>
    </row>
    <row r="143" spans="1:15" ht="19.5" customHeight="1">
      <c r="A143" s="56"/>
      <c r="B143" s="195"/>
      <c r="C143" s="16" t="s">
        <v>162</v>
      </c>
      <c r="D143" s="93"/>
      <c r="E143" s="93">
        <v>0.23</v>
      </c>
      <c r="F143" s="112">
        <f t="shared" si="4"/>
        <v>0</v>
      </c>
      <c r="G143" s="93"/>
      <c r="H143" s="93"/>
      <c r="I143" s="93"/>
      <c r="J143" s="93"/>
      <c r="K143" s="93"/>
      <c r="L143" s="94"/>
      <c r="M143" s="1"/>
      <c r="N143" s="56"/>
      <c r="O143" s="57"/>
    </row>
    <row r="144" spans="1:15" ht="20.25" customHeight="1">
      <c r="A144" s="56"/>
      <c r="B144" s="195"/>
      <c r="C144" s="116" t="s">
        <v>163</v>
      </c>
      <c r="D144" s="93">
        <v>2</v>
      </c>
      <c r="E144" s="93">
        <v>0.24</v>
      </c>
      <c r="F144" s="112">
        <f t="shared" si="4"/>
        <v>833.33333333333337</v>
      </c>
      <c r="G144" s="93"/>
      <c r="H144" s="93"/>
      <c r="I144" s="93"/>
      <c r="J144" s="93"/>
      <c r="K144" s="93"/>
      <c r="L144" s="94"/>
      <c r="M144" s="1"/>
      <c r="N144" s="56"/>
      <c r="O144" s="57"/>
    </row>
    <row r="145" spans="1:15" ht="20.25" customHeight="1">
      <c r="A145" s="56"/>
      <c r="B145" s="195"/>
      <c r="C145" s="116" t="s">
        <v>164</v>
      </c>
      <c r="D145" s="93">
        <v>1.5</v>
      </c>
      <c r="E145" s="93">
        <v>0.2</v>
      </c>
      <c r="F145" s="112">
        <f t="shared" si="4"/>
        <v>750</v>
      </c>
      <c r="G145" s="93"/>
      <c r="H145" s="93"/>
      <c r="I145" s="93"/>
      <c r="J145" s="93"/>
      <c r="K145" s="93"/>
      <c r="L145" s="94"/>
      <c r="M145" s="1"/>
      <c r="N145" s="56"/>
      <c r="O145" s="57"/>
    </row>
    <row r="146" spans="1:15" ht="15.75">
      <c r="A146" s="56"/>
      <c r="B146" s="195"/>
      <c r="C146" s="116" t="s">
        <v>168</v>
      </c>
      <c r="D146" s="93">
        <v>0.38</v>
      </c>
      <c r="E146" s="93">
        <v>0.38</v>
      </c>
      <c r="F146" s="112">
        <f t="shared" si="4"/>
        <v>100</v>
      </c>
      <c r="G146" s="93"/>
      <c r="H146" s="93"/>
      <c r="I146" s="93"/>
      <c r="J146" s="93"/>
      <c r="K146" s="93"/>
      <c r="L146" s="94"/>
      <c r="M146" s="1"/>
      <c r="N146" s="56"/>
      <c r="O146" s="57"/>
    </row>
    <row r="147" spans="1:15" ht="15.75">
      <c r="A147" s="56"/>
      <c r="B147" s="195"/>
      <c r="C147" s="116" t="s">
        <v>169</v>
      </c>
      <c r="D147" s="126">
        <v>0.19</v>
      </c>
      <c r="E147" s="93">
        <v>0.19</v>
      </c>
      <c r="F147" s="112">
        <f t="shared" si="4"/>
        <v>100</v>
      </c>
      <c r="G147" s="93"/>
      <c r="H147" s="93"/>
      <c r="I147" s="93"/>
      <c r="J147" s="93"/>
      <c r="K147" s="93"/>
      <c r="L147" s="94"/>
      <c r="M147" s="1"/>
      <c r="N147" s="56"/>
      <c r="O147" s="57"/>
    </row>
    <row r="148" spans="1:15" ht="18" customHeight="1">
      <c r="A148" s="56"/>
      <c r="B148" s="195"/>
      <c r="C148" s="115" t="s">
        <v>67</v>
      </c>
      <c r="D148" s="126"/>
      <c r="E148" s="93"/>
      <c r="F148" s="112"/>
      <c r="G148" s="93">
        <v>10</v>
      </c>
      <c r="H148" s="93">
        <v>10</v>
      </c>
      <c r="I148" s="93">
        <f>G148/H148*100</f>
        <v>100</v>
      </c>
      <c r="J148" s="93"/>
      <c r="K148" s="93"/>
      <c r="L148" s="94"/>
      <c r="M148" s="1"/>
      <c r="N148" s="56"/>
      <c r="O148" s="57"/>
    </row>
    <row r="149" spans="1:15" ht="15.75">
      <c r="A149" s="56"/>
      <c r="B149" s="195"/>
      <c r="C149" s="177" t="s">
        <v>192</v>
      </c>
      <c r="D149" s="126"/>
      <c r="E149" s="93"/>
      <c r="F149" s="112"/>
      <c r="G149" s="93">
        <v>2</v>
      </c>
      <c r="H149" s="93"/>
      <c r="I149" s="93"/>
      <c r="J149" s="93"/>
      <c r="K149" s="93"/>
      <c r="L149" s="94"/>
      <c r="M149" s="1"/>
      <c r="N149" s="56"/>
      <c r="O149" s="57"/>
    </row>
    <row r="150" spans="1:15" ht="15.75">
      <c r="A150" s="56"/>
      <c r="B150" s="195"/>
      <c r="C150" s="175"/>
      <c r="D150" s="126"/>
      <c r="E150" s="93"/>
      <c r="F150" s="112"/>
      <c r="G150" s="93"/>
      <c r="H150" s="93"/>
      <c r="I150" s="93"/>
      <c r="J150" s="93"/>
      <c r="K150" s="93"/>
      <c r="L150" s="94"/>
      <c r="M150" s="1"/>
      <c r="N150" s="56"/>
      <c r="O150" s="57"/>
    </row>
    <row r="151" spans="1:15" ht="15.75">
      <c r="A151" s="56"/>
      <c r="B151" s="196"/>
      <c r="C151" s="66"/>
      <c r="D151" s="93"/>
      <c r="E151" s="93"/>
      <c r="F151" s="112"/>
      <c r="G151" s="93"/>
      <c r="H151" s="93"/>
      <c r="I151" s="93"/>
      <c r="J151" s="93"/>
      <c r="K151" s="93"/>
      <c r="L151" s="94"/>
      <c r="M151" s="1"/>
      <c r="N151" s="56"/>
      <c r="O151" s="57"/>
    </row>
    <row r="152" spans="1:15" ht="15.75">
      <c r="A152" s="51"/>
      <c r="B152" s="95"/>
      <c r="C152" s="85" t="s">
        <v>11</v>
      </c>
      <c r="D152" s="96"/>
      <c r="E152" s="96"/>
      <c r="F152" s="87"/>
      <c r="G152" s="96"/>
      <c r="H152" s="96"/>
      <c r="I152" s="96"/>
      <c r="J152" s="96"/>
      <c r="K152" s="96"/>
      <c r="L152" s="97"/>
      <c r="M152" s="25"/>
      <c r="N152" s="51"/>
      <c r="O152" s="55"/>
    </row>
    <row r="153" spans="1:15">
      <c r="A153" s="1"/>
      <c r="B153" s="1"/>
      <c r="C153" s="1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5" spans="1:15" ht="18.75">
      <c r="B155" s="183" t="s">
        <v>196</v>
      </c>
      <c r="C155" s="183" t="s">
        <v>195</v>
      </c>
    </row>
    <row r="156" spans="1:15" ht="15.75" thickBot="1"/>
    <row r="157" spans="1:15">
      <c r="A157" s="204" t="s">
        <v>0</v>
      </c>
      <c r="B157" s="207" t="s">
        <v>1</v>
      </c>
      <c r="C157" s="210" t="s">
        <v>2</v>
      </c>
      <c r="D157" s="212" t="s">
        <v>3</v>
      </c>
      <c r="E157" s="213"/>
      <c r="F157" s="213"/>
      <c r="G157" s="213"/>
      <c r="H157" s="213"/>
      <c r="I157" s="213"/>
      <c r="J157" s="213"/>
      <c r="K157" s="213"/>
      <c r="L157" s="214"/>
    </row>
    <row r="158" spans="1:15">
      <c r="A158" s="205"/>
      <c r="B158" s="208"/>
      <c r="C158" s="208"/>
      <c r="D158" s="215" t="s">
        <v>4</v>
      </c>
      <c r="E158" s="215"/>
      <c r="F158" s="215"/>
      <c r="G158" s="215" t="s">
        <v>5</v>
      </c>
      <c r="H158" s="215"/>
      <c r="I158" s="215"/>
      <c r="J158" s="215"/>
      <c r="K158" s="215"/>
      <c r="L158" s="216"/>
    </row>
    <row r="159" spans="1:15" ht="43.5" thickBot="1">
      <c r="A159" s="206"/>
      <c r="B159" s="209"/>
      <c r="C159" s="211"/>
      <c r="D159" s="2" t="s">
        <v>6</v>
      </c>
      <c r="E159" s="149" t="s">
        <v>7</v>
      </c>
      <c r="F159" s="149" t="s">
        <v>8</v>
      </c>
      <c r="G159" s="2" t="s">
        <v>6</v>
      </c>
      <c r="H159" s="149" t="s">
        <v>7</v>
      </c>
      <c r="I159" s="149" t="s">
        <v>8</v>
      </c>
      <c r="J159" s="2" t="s">
        <v>6</v>
      </c>
      <c r="K159" s="149" t="s">
        <v>7</v>
      </c>
      <c r="L159" s="4" t="s">
        <v>8</v>
      </c>
    </row>
    <row r="160" spans="1:15" ht="23.25" customHeight="1">
      <c r="A160" s="5"/>
      <c r="B160" s="197" t="s">
        <v>26</v>
      </c>
      <c r="C160" s="10" t="s">
        <v>132</v>
      </c>
      <c r="D160" s="6">
        <v>101</v>
      </c>
      <c r="E160" s="6">
        <v>106.87</v>
      </c>
      <c r="F160" s="69">
        <f>D160/E160*100</f>
        <v>94.507345372882938</v>
      </c>
      <c r="G160" s="6"/>
      <c r="H160" s="6"/>
      <c r="I160" s="8"/>
      <c r="J160" s="6"/>
      <c r="K160" s="6"/>
      <c r="L160" s="9"/>
    </row>
    <row r="161" spans="1:12" ht="23.25" customHeight="1">
      <c r="A161" s="98"/>
      <c r="B161" s="198"/>
      <c r="C161" s="154" t="s">
        <v>133</v>
      </c>
      <c r="D161" s="6">
        <v>22</v>
      </c>
      <c r="E161" s="6">
        <v>21.89</v>
      </c>
      <c r="F161" s="69">
        <f t="shared" ref="F161:F171" si="5">D161/E161*100</f>
        <v>100.50251256281406</v>
      </c>
      <c r="G161" s="6"/>
      <c r="H161" s="6"/>
      <c r="I161" s="8"/>
      <c r="J161" s="6"/>
      <c r="K161" s="6"/>
      <c r="L161" s="9"/>
    </row>
    <row r="162" spans="1:12" ht="33" customHeight="1">
      <c r="A162" s="199">
        <v>1</v>
      </c>
      <c r="B162" s="198"/>
      <c r="C162" s="154" t="s">
        <v>144</v>
      </c>
      <c r="D162" s="11">
        <v>3</v>
      </c>
      <c r="E162" s="12">
        <v>3.12</v>
      </c>
      <c r="F162" s="69">
        <f t="shared" si="5"/>
        <v>96.153846153846146</v>
      </c>
      <c r="G162" s="12"/>
      <c r="H162" s="12"/>
      <c r="I162" s="14"/>
      <c r="J162" s="12"/>
      <c r="K162" s="12"/>
      <c r="L162" s="15"/>
    </row>
    <row r="163" spans="1:12" ht="21" customHeight="1">
      <c r="A163" s="200"/>
      <c r="B163" s="198"/>
      <c r="C163" s="154" t="s">
        <v>145</v>
      </c>
      <c r="D163" s="11">
        <v>1</v>
      </c>
      <c r="E163" s="12">
        <v>0.62</v>
      </c>
      <c r="F163" s="69">
        <f t="shared" si="5"/>
        <v>161.29032258064518</v>
      </c>
      <c r="G163" s="12"/>
      <c r="H163" s="12"/>
      <c r="I163" s="14"/>
      <c r="J163" s="12"/>
      <c r="K163" s="12"/>
      <c r="L163" s="15"/>
    </row>
    <row r="164" spans="1:12" ht="31.5" customHeight="1">
      <c r="A164" s="200"/>
      <c r="B164" s="198"/>
      <c r="C164" s="154" t="s">
        <v>146</v>
      </c>
      <c r="D164" s="11">
        <v>2</v>
      </c>
      <c r="E164" s="12">
        <v>2.12</v>
      </c>
      <c r="F164" s="69">
        <f t="shared" si="5"/>
        <v>94.339622641509422</v>
      </c>
      <c r="G164" s="12"/>
      <c r="H164" s="12"/>
      <c r="I164" s="14"/>
      <c r="J164" s="12"/>
      <c r="K164" s="12"/>
      <c r="L164" s="15"/>
    </row>
    <row r="165" spans="1:12" ht="15.75" customHeight="1">
      <c r="A165" s="200"/>
      <c r="B165" s="198"/>
      <c r="C165" s="160" t="s">
        <v>156</v>
      </c>
      <c r="D165" s="11">
        <v>2.5</v>
      </c>
      <c r="E165" s="12">
        <v>3.02</v>
      </c>
      <c r="F165" s="69">
        <f t="shared" si="5"/>
        <v>82.78145695364239</v>
      </c>
      <c r="G165" s="12"/>
      <c r="H165" s="12"/>
      <c r="I165" s="14"/>
      <c r="J165" s="12"/>
      <c r="K165" s="12"/>
      <c r="L165" s="15"/>
    </row>
    <row r="166" spans="1:12" ht="15.75" customHeight="1">
      <c r="A166" s="200"/>
      <c r="B166" s="198"/>
      <c r="C166" s="160" t="s">
        <v>157</v>
      </c>
      <c r="D166" s="11">
        <v>10</v>
      </c>
      <c r="E166" s="12">
        <v>9.92</v>
      </c>
      <c r="F166" s="69">
        <f t="shared" si="5"/>
        <v>100.80645161290323</v>
      </c>
      <c r="G166" s="12">
        <v>109</v>
      </c>
      <c r="H166" s="12">
        <v>98.4</v>
      </c>
      <c r="I166" s="14">
        <f>G166/H166*100</f>
        <v>110.77235772357723</v>
      </c>
      <c r="J166" s="12"/>
      <c r="K166" s="12"/>
      <c r="L166" s="15"/>
    </row>
    <row r="167" spans="1:12" ht="15.75" customHeight="1">
      <c r="A167" s="200"/>
      <c r="B167" s="198"/>
      <c r="C167" s="172" t="s">
        <v>160</v>
      </c>
      <c r="D167" s="11">
        <v>0.85</v>
      </c>
      <c r="E167" s="12">
        <v>0.86</v>
      </c>
      <c r="F167" s="69">
        <f t="shared" si="5"/>
        <v>98.837209302325576</v>
      </c>
      <c r="G167" s="12"/>
      <c r="H167" s="12"/>
      <c r="I167" s="14"/>
      <c r="J167" s="12"/>
      <c r="K167" s="12"/>
      <c r="L167" s="15"/>
    </row>
    <row r="168" spans="1:12" ht="15.75" customHeight="1">
      <c r="A168" s="200"/>
      <c r="B168" s="198"/>
      <c r="C168" s="173" t="s">
        <v>161</v>
      </c>
      <c r="D168" s="11">
        <v>1</v>
      </c>
      <c r="E168" s="12">
        <v>1.06</v>
      </c>
      <c r="F168" s="69">
        <f t="shared" si="5"/>
        <v>94.339622641509422</v>
      </c>
      <c r="G168" s="12"/>
      <c r="H168" s="12"/>
      <c r="I168" s="14"/>
      <c r="J168" s="12"/>
      <c r="K168" s="12"/>
      <c r="L168" s="15"/>
    </row>
    <row r="169" spans="1:12" ht="15.75" customHeight="1">
      <c r="A169" s="200"/>
      <c r="B169" s="198"/>
      <c r="C169" s="116" t="s">
        <v>163</v>
      </c>
      <c r="D169" s="11"/>
      <c r="E169" s="12">
        <v>1.86</v>
      </c>
      <c r="F169" s="69">
        <f t="shared" si="5"/>
        <v>0</v>
      </c>
      <c r="G169" s="12"/>
      <c r="H169" s="12"/>
      <c r="I169" s="14"/>
      <c r="J169" s="12"/>
      <c r="K169" s="12"/>
      <c r="L169" s="15"/>
    </row>
    <row r="170" spans="1:12" ht="15.75" customHeight="1">
      <c r="A170" s="200"/>
      <c r="B170" s="198"/>
      <c r="C170" s="116" t="s">
        <v>164</v>
      </c>
      <c r="D170" s="11">
        <v>2</v>
      </c>
      <c r="E170" s="12">
        <v>1.52</v>
      </c>
      <c r="F170" s="69">
        <f t="shared" si="5"/>
        <v>131.57894736842107</v>
      </c>
      <c r="G170" s="12"/>
      <c r="H170" s="12"/>
      <c r="I170" s="14"/>
      <c r="J170" s="12"/>
      <c r="K170" s="12"/>
      <c r="L170" s="15"/>
    </row>
    <row r="171" spans="1:12" ht="15.75" customHeight="1">
      <c r="A171" s="200"/>
      <c r="B171" s="198"/>
      <c r="C171" s="116" t="s">
        <v>167</v>
      </c>
      <c r="D171" s="11">
        <v>6.25</v>
      </c>
      <c r="E171" s="12">
        <v>6.27</v>
      </c>
      <c r="F171" s="69">
        <f t="shared" si="5"/>
        <v>99.681020733652318</v>
      </c>
      <c r="G171" s="12"/>
      <c r="H171" s="12"/>
      <c r="I171" s="14"/>
      <c r="J171" s="12"/>
      <c r="K171" s="12"/>
      <c r="L171" s="15"/>
    </row>
    <row r="172" spans="1:12" ht="15.75" customHeight="1">
      <c r="A172" s="200"/>
      <c r="B172" s="198"/>
      <c r="C172" s="116"/>
      <c r="D172" s="11"/>
      <c r="E172" s="12"/>
      <c r="F172" s="69"/>
      <c r="G172" s="12"/>
      <c r="H172" s="12"/>
      <c r="I172" s="14"/>
      <c r="J172" s="12"/>
      <c r="K172" s="12"/>
      <c r="L172" s="15"/>
    </row>
    <row r="173" spans="1:12" ht="15.75">
      <c r="A173" s="200"/>
      <c r="B173" s="198"/>
      <c r="C173" s="116"/>
      <c r="D173" s="11"/>
      <c r="E173" s="12"/>
      <c r="F173" s="69"/>
      <c r="G173" s="12"/>
      <c r="H173" s="12"/>
      <c r="I173" s="14"/>
      <c r="J173" s="12"/>
      <c r="K173" s="12"/>
      <c r="L173" s="15"/>
    </row>
    <row r="174" spans="1:12" ht="15.75">
      <c r="A174" s="18"/>
      <c r="B174" s="19"/>
      <c r="C174" s="20" t="s">
        <v>11</v>
      </c>
      <c r="D174" s="21"/>
      <c r="E174" s="21"/>
      <c r="F174" s="6"/>
      <c r="G174" s="22"/>
      <c r="H174" s="22"/>
      <c r="I174" s="23"/>
      <c r="J174" s="22"/>
      <c r="K174" s="22"/>
      <c r="L174" s="24"/>
    </row>
    <row r="175" spans="1:12" s="135" customFormat="1" ht="15.75">
      <c r="A175" s="18"/>
      <c r="B175" s="130"/>
      <c r="C175" s="10" t="s">
        <v>132</v>
      </c>
      <c r="D175" s="131">
        <v>9.6999999999999993</v>
      </c>
      <c r="E175" s="131">
        <v>8.0399999999999991</v>
      </c>
      <c r="F175" s="144">
        <f>D175/E175*100</f>
        <v>120.64676616915423</v>
      </c>
      <c r="G175" s="132"/>
      <c r="H175" s="132"/>
      <c r="I175" s="133"/>
      <c r="J175" s="132"/>
      <c r="K175" s="132"/>
      <c r="L175" s="134"/>
    </row>
    <row r="176" spans="1:12" ht="31.5">
      <c r="A176" s="199">
        <v>4</v>
      </c>
      <c r="B176" s="202" t="s">
        <v>15</v>
      </c>
      <c r="C176" s="154" t="s">
        <v>133</v>
      </c>
      <c r="D176" s="12">
        <v>2.11</v>
      </c>
      <c r="E176" s="12">
        <v>1.65</v>
      </c>
      <c r="F176" s="144">
        <f t="shared" ref="F176:F186" si="6">D176/E176*100</f>
        <v>127.87878787878788</v>
      </c>
      <c r="G176" s="12"/>
      <c r="H176" s="12"/>
      <c r="I176" s="13"/>
      <c r="J176" s="12"/>
      <c r="K176" s="12"/>
      <c r="L176" s="15"/>
    </row>
    <row r="177" spans="1:12" ht="31.5">
      <c r="A177" s="200"/>
      <c r="B177" s="203"/>
      <c r="C177" s="154" t="s">
        <v>144</v>
      </c>
      <c r="D177" s="12">
        <v>1</v>
      </c>
      <c r="E177" s="12">
        <v>0.61</v>
      </c>
      <c r="F177" s="144">
        <f t="shared" si="6"/>
        <v>163.9344262295082</v>
      </c>
      <c r="G177" s="12"/>
      <c r="H177" s="12"/>
      <c r="I177" s="13"/>
      <c r="J177" s="12"/>
      <c r="K177" s="12"/>
      <c r="L177" s="15"/>
    </row>
    <row r="178" spans="1:12" ht="47.25">
      <c r="A178" s="200"/>
      <c r="B178" s="203"/>
      <c r="C178" s="154" t="s">
        <v>145</v>
      </c>
      <c r="D178" s="12">
        <v>1.06</v>
      </c>
      <c r="E178" s="12">
        <v>1</v>
      </c>
      <c r="F178" s="144">
        <f t="shared" si="6"/>
        <v>106</v>
      </c>
      <c r="G178" s="12"/>
      <c r="H178" s="12"/>
      <c r="I178" s="70"/>
      <c r="J178" s="12"/>
      <c r="K178" s="12"/>
      <c r="L178" s="15"/>
    </row>
    <row r="179" spans="1:12" ht="31.5">
      <c r="A179" s="200"/>
      <c r="B179" s="150"/>
      <c r="C179" s="154" t="s">
        <v>146</v>
      </c>
      <c r="D179" s="12"/>
      <c r="E179" s="12">
        <v>0.35</v>
      </c>
      <c r="F179" s="144">
        <f t="shared" si="6"/>
        <v>0</v>
      </c>
      <c r="G179" s="12"/>
      <c r="H179" s="12"/>
      <c r="I179" s="70"/>
      <c r="J179" s="12"/>
      <c r="K179" s="12"/>
      <c r="L179" s="15"/>
    </row>
    <row r="180" spans="1:12" ht="30">
      <c r="A180" s="200"/>
      <c r="B180" s="162"/>
      <c r="C180" s="160" t="s">
        <v>156</v>
      </c>
      <c r="D180" s="12">
        <v>1</v>
      </c>
      <c r="E180" s="12">
        <v>0.69</v>
      </c>
      <c r="F180" s="144">
        <f t="shared" si="6"/>
        <v>144.92753623188409</v>
      </c>
      <c r="G180" s="12"/>
      <c r="H180" s="12"/>
      <c r="I180" s="70"/>
      <c r="J180" s="12"/>
      <c r="K180" s="12"/>
      <c r="L180" s="15"/>
    </row>
    <row r="181" spans="1:12" ht="60">
      <c r="A181" s="200"/>
      <c r="B181" s="162"/>
      <c r="C181" s="160" t="s">
        <v>157</v>
      </c>
      <c r="D181" s="12">
        <v>1.5</v>
      </c>
      <c r="E181" s="12">
        <v>1.42</v>
      </c>
      <c r="F181" s="144">
        <f t="shared" si="6"/>
        <v>105.63380281690142</v>
      </c>
      <c r="G181" s="12">
        <v>14.5</v>
      </c>
      <c r="H181" s="12">
        <v>14.09</v>
      </c>
      <c r="I181" s="70">
        <f>G181/H181</f>
        <v>1.0290986515259049</v>
      </c>
      <c r="J181" s="12"/>
      <c r="K181" s="12"/>
      <c r="L181" s="15"/>
    </row>
    <row r="182" spans="1:12" ht="30">
      <c r="A182" s="200"/>
      <c r="B182" s="162"/>
      <c r="C182" s="172" t="s">
        <v>160</v>
      </c>
      <c r="D182" s="12">
        <v>0.25</v>
      </c>
      <c r="E182" s="12">
        <v>0.23</v>
      </c>
      <c r="F182" s="144">
        <f t="shared" si="6"/>
        <v>108.69565217391303</v>
      </c>
      <c r="G182" s="12"/>
      <c r="H182" s="12"/>
      <c r="I182" s="70"/>
      <c r="J182" s="12"/>
      <c r="K182" s="12"/>
      <c r="L182" s="15"/>
    </row>
    <row r="183" spans="1:12">
      <c r="A183" s="200"/>
      <c r="B183" s="162"/>
      <c r="C183" s="173" t="s">
        <v>161</v>
      </c>
      <c r="D183" s="12"/>
      <c r="E183" s="12">
        <v>0.23</v>
      </c>
      <c r="F183" s="144">
        <f t="shared" si="6"/>
        <v>0</v>
      </c>
      <c r="G183" s="12"/>
      <c r="H183" s="12"/>
      <c r="I183" s="70"/>
      <c r="J183" s="12"/>
      <c r="K183" s="12"/>
      <c r="L183" s="15"/>
    </row>
    <row r="184" spans="1:12" ht="15.75">
      <c r="A184" s="200"/>
      <c r="B184" s="162"/>
      <c r="C184" s="116" t="s">
        <v>163</v>
      </c>
      <c r="D184" s="12">
        <v>0.25</v>
      </c>
      <c r="E184" s="12">
        <v>0.27</v>
      </c>
      <c r="F184" s="144">
        <f t="shared" si="6"/>
        <v>92.592592592592581</v>
      </c>
      <c r="G184" s="12"/>
      <c r="H184" s="12"/>
      <c r="I184" s="70"/>
      <c r="J184" s="12"/>
      <c r="K184" s="12"/>
      <c r="L184" s="15"/>
    </row>
    <row r="185" spans="1:12" ht="15.75">
      <c r="A185" s="200"/>
      <c r="B185" s="162"/>
      <c r="C185" s="116" t="s">
        <v>164</v>
      </c>
      <c r="D185" s="12"/>
      <c r="E185" s="12">
        <v>0.22</v>
      </c>
      <c r="F185" s="144">
        <f t="shared" si="6"/>
        <v>0</v>
      </c>
      <c r="G185" s="12"/>
      <c r="H185" s="12"/>
      <c r="I185" s="70"/>
      <c r="J185" s="12"/>
      <c r="K185" s="12"/>
      <c r="L185" s="15"/>
    </row>
    <row r="186" spans="1:12" ht="31.5">
      <c r="A186" s="200"/>
      <c r="B186" s="162"/>
      <c r="C186" s="116" t="s">
        <v>167</v>
      </c>
      <c r="D186" s="12">
        <v>1.5</v>
      </c>
      <c r="E186" s="12">
        <v>1.54</v>
      </c>
      <c r="F186" s="144">
        <f t="shared" si="6"/>
        <v>97.402597402597408</v>
      </c>
      <c r="G186" s="12"/>
      <c r="H186" s="12"/>
      <c r="I186" s="70"/>
      <c r="J186" s="12"/>
      <c r="K186" s="12"/>
      <c r="L186" s="15"/>
    </row>
    <row r="187" spans="1:12">
      <c r="A187" s="201"/>
      <c r="B187" s="65"/>
      <c r="C187" s="38" t="s">
        <v>11</v>
      </c>
      <c r="D187" s="39"/>
      <c r="E187" s="39"/>
      <c r="F187" s="40"/>
      <c r="G187" s="39"/>
      <c r="H187" s="39"/>
      <c r="I187" s="41"/>
      <c r="J187" s="39"/>
      <c r="K187" s="39"/>
      <c r="L187" s="42"/>
    </row>
    <row r="188" spans="1:12" s="135" customFormat="1" ht="15.75">
      <c r="A188" s="136"/>
      <c r="B188" s="137"/>
      <c r="C188" s="10" t="s">
        <v>132</v>
      </c>
      <c r="D188" s="132">
        <v>15.76</v>
      </c>
      <c r="E188" s="132">
        <v>13.39</v>
      </c>
      <c r="F188" s="138">
        <f>D188/E188*100</f>
        <v>117.69977595220314</v>
      </c>
      <c r="G188" s="132">
        <v>21</v>
      </c>
      <c r="H188" s="132">
        <v>21.24</v>
      </c>
      <c r="I188" s="133">
        <f>G188/H188</f>
        <v>0.98870056497175152</v>
      </c>
      <c r="J188" s="132"/>
      <c r="K188" s="132"/>
      <c r="L188" s="139"/>
    </row>
    <row r="189" spans="1:12" ht="18" customHeight="1">
      <c r="A189" s="147"/>
      <c r="B189" s="64" t="s">
        <v>16</v>
      </c>
      <c r="C189" s="154" t="s">
        <v>133</v>
      </c>
      <c r="D189" s="16">
        <v>3.5</v>
      </c>
      <c r="E189" s="16">
        <v>2.74</v>
      </c>
      <c r="F189" s="138">
        <f t="shared" ref="F189:F193" si="7">D189/E189*100</f>
        <v>127.73722627737226</v>
      </c>
      <c r="G189" s="12"/>
      <c r="H189" s="12"/>
      <c r="I189" s="13"/>
      <c r="J189" s="12"/>
      <c r="K189" s="12"/>
      <c r="L189" s="15"/>
    </row>
    <row r="190" spans="1:12" ht="15.75" customHeight="1">
      <c r="A190" s="161"/>
      <c r="B190" s="129"/>
      <c r="C190" s="160" t="s">
        <v>156</v>
      </c>
      <c r="D190" s="16">
        <v>1.5</v>
      </c>
      <c r="E190" s="16">
        <v>1.31</v>
      </c>
      <c r="F190" s="138">
        <f t="shared" si="7"/>
        <v>114.50381679389312</v>
      </c>
      <c r="G190" s="12"/>
      <c r="H190" s="12"/>
      <c r="I190" s="13"/>
      <c r="J190" s="12"/>
      <c r="K190" s="12"/>
      <c r="L190" s="15"/>
    </row>
    <row r="191" spans="1:12" ht="18.75" customHeight="1">
      <c r="A191" s="161"/>
      <c r="B191" s="129"/>
      <c r="C191" s="160" t="s">
        <v>157</v>
      </c>
      <c r="D191" s="16">
        <v>2</v>
      </c>
      <c r="E191" s="16">
        <v>2.14</v>
      </c>
      <c r="F191" s="138">
        <f t="shared" si="7"/>
        <v>93.45794392523365</v>
      </c>
      <c r="G191" s="12"/>
      <c r="H191" s="12"/>
      <c r="I191" s="13"/>
      <c r="J191" s="12"/>
      <c r="K191" s="12"/>
      <c r="L191" s="15"/>
    </row>
    <row r="192" spans="1:12" ht="15.75">
      <c r="A192" s="161"/>
      <c r="B192" s="129"/>
      <c r="C192" s="116" t="s">
        <v>163</v>
      </c>
      <c r="D192" s="16"/>
      <c r="E192" s="16">
        <v>0.4</v>
      </c>
      <c r="F192" s="138">
        <f t="shared" si="7"/>
        <v>0</v>
      </c>
      <c r="G192" s="12"/>
      <c r="H192" s="12"/>
      <c r="I192" s="13"/>
      <c r="J192" s="12"/>
      <c r="K192" s="12"/>
      <c r="L192" s="15"/>
    </row>
    <row r="193" spans="1:12" ht="15.75">
      <c r="A193" s="161"/>
      <c r="B193" s="129"/>
      <c r="C193" s="116" t="s">
        <v>164</v>
      </c>
      <c r="D193" s="16">
        <v>0.5</v>
      </c>
      <c r="E193" s="16">
        <v>0.33</v>
      </c>
      <c r="F193" s="138">
        <f t="shared" si="7"/>
        <v>151.5151515151515</v>
      </c>
      <c r="G193" s="12"/>
      <c r="H193" s="12"/>
      <c r="I193" s="13"/>
      <c r="J193" s="12"/>
      <c r="K193" s="12"/>
      <c r="L193" s="15"/>
    </row>
    <row r="194" spans="1:12" ht="15.75">
      <c r="A194" s="171"/>
      <c r="B194" s="129"/>
      <c r="C194" s="116" t="s">
        <v>193</v>
      </c>
      <c r="D194" s="16"/>
      <c r="E194" s="16"/>
      <c r="F194" s="138"/>
      <c r="G194" s="12">
        <v>21</v>
      </c>
      <c r="H194" s="12">
        <v>21.24</v>
      </c>
      <c r="I194" s="13">
        <f>G194/H194</f>
        <v>0.98870056497175152</v>
      </c>
      <c r="J194" s="12"/>
      <c r="K194" s="12"/>
      <c r="L194" s="15"/>
    </row>
    <row r="195" spans="1:12" ht="15.75">
      <c r="A195" s="171"/>
      <c r="B195" s="129"/>
      <c r="C195" s="160"/>
      <c r="D195" s="16"/>
      <c r="E195" s="16"/>
      <c r="F195" s="138"/>
      <c r="G195" s="12"/>
      <c r="H195" s="12"/>
      <c r="I195" s="13"/>
      <c r="J195" s="12"/>
      <c r="K195" s="12"/>
      <c r="L195" s="15"/>
    </row>
    <row r="196" spans="1:12" ht="15.75">
      <c r="A196" s="171"/>
      <c r="B196" s="129"/>
      <c r="C196" s="116"/>
      <c r="D196" s="16"/>
      <c r="E196" s="16"/>
      <c r="F196" s="138"/>
      <c r="G196" s="12"/>
      <c r="H196" s="12"/>
      <c r="I196" s="13"/>
      <c r="J196" s="12"/>
      <c r="K196" s="12"/>
      <c r="L196" s="15"/>
    </row>
    <row r="197" spans="1:12">
      <c r="A197" s="47"/>
      <c r="B197" s="48"/>
      <c r="C197" s="38" t="s">
        <v>11</v>
      </c>
      <c r="D197" s="39"/>
      <c r="E197" s="39"/>
      <c r="F197" s="14"/>
      <c r="G197" s="39"/>
      <c r="H197" s="39"/>
      <c r="I197" s="41"/>
      <c r="J197" s="39"/>
      <c r="K197" s="39"/>
      <c r="L197" s="49"/>
    </row>
    <row r="198" spans="1:12" s="135" customFormat="1" ht="16.5" customHeight="1">
      <c r="A198" s="50"/>
      <c r="B198" s="224" t="s">
        <v>27</v>
      </c>
      <c r="C198" s="106" t="s">
        <v>152</v>
      </c>
      <c r="D198" s="132">
        <v>1</v>
      </c>
      <c r="E198" s="132">
        <v>0.91</v>
      </c>
      <c r="F198" s="138">
        <f>D198/E198*100</f>
        <v>109.89010989010988</v>
      </c>
      <c r="G198" s="132"/>
      <c r="H198" s="132"/>
      <c r="I198" s="133"/>
      <c r="J198" s="132"/>
      <c r="K198" s="132"/>
      <c r="L198" s="134"/>
    </row>
    <row r="199" spans="1:12" s="135" customFormat="1" ht="30">
      <c r="A199" s="50"/>
      <c r="B199" s="225"/>
      <c r="C199" s="160" t="s">
        <v>155</v>
      </c>
      <c r="D199" s="132">
        <v>6</v>
      </c>
      <c r="E199" s="132">
        <v>5.85</v>
      </c>
      <c r="F199" s="138">
        <f>D199/E199*100</f>
        <v>102.56410256410258</v>
      </c>
      <c r="G199" s="132"/>
      <c r="H199" s="132"/>
      <c r="I199" s="133"/>
      <c r="J199" s="132"/>
      <c r="K199" s="132"/>
      <c r="L199" s="134"/>
    </row>
    <row r="200" spans="1:12" ht="15.75">
      <c r="A200" s="45"/>
      <c r="B200" s="226"/>
      <c r="C200" s="16"/>
      <c r="D200" s="12"/>
      <c r="E200" s="12"/>
      <c r="F200" s="14"/>
      <c r="G200" s="12"/>
      <c r="H200" s="12"/>
      <c r="I200" s="12"/>
      <c r="J200" s="12"/>
      <c r="K200" s="12"/>
      <c r="L200" s="15"/>
    </row>
    <row r="201" spans="1:12">
      <c r="A201" s="51"/>
      <c r="B201" s="52"/>
      <c r="C201" s="38" t="s">
        <v>11</v>
      </c>
      <c r="D201" s="53"/>
      <c r="E201" s="53"/>
      <c r="F201" s="40"/>
      <c r="G201" s="53"/>
      <c r="H201" s="53"/>
      <c r="I201" s="53"/>
      <c r="J201" s="53"/>
      <c r="K201" s="53"/>
      <c r="L201" s="54"/>
    </row>
  </sheetData>
  <mergeCells count="27">
    <mergeCell ref="B198:B200"/>
    <mergeCell ref="B160:B173"/>
    <mergeCell ref="A162:A173"/>
    <mergeCell ref="A176:A187"/>
    <mergeCell ref="B176:B178"/>
    <mergeCell ref="A157:A159"/>
    <mergeCell ref="B157:B159"/>
    <mergeCell ref="C157:C159"/>
    <mergeCell ref="D157:L157"/>
    <mergeCell ref="D158:F158"/>
    <mergeCell ref="G158:I158"/>
    <mergeCell ref="J158:L158"/>
    <mergeCell ref="B136:B151"/>
    <mergeCell ref="B101:B134"/>
    <mergeCell ref="A24:A69"/>
    <mergeCell ref="B24:B69"/>
    <mergeCell ref="N3:N5"/>
    <mergeCell ref="B6:B22"/>
    <mergeCell ref="N24:N69"/>
    <mergeCell ref="O3:O5"/>
    <mergeCell ref="D4:F4"/>
    <mergeCell ref="G4:I4"/>
    <mergeCell ref="J4:L4"/>
    <mergeCell ref="A3:A5"/>
    <mergeCell ref="B3:B5"/>
    <mergeCell ref="C3:C5"/>
    <mergeCell ref="D3:L3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O125"/>
  <sheetViews>
    <sheetView tabSelected="1" topLeftCell="A93" workbookViewId="0">
      <selection activeCell="H93" sqref="H93"/>
    </sheetView>
  </sheetViews>
  <sheetFormatPr defaultRowHeight="15"/>
  <cols>
    <col min="1" max="1" width="6" customWidth="1"/>
    <col min="2" max="2" width="12" customWidth="1"/>
    <col min="3" max="3" width="42.5703125" customWidth="1"/>
    <col min="4" max="4" width="8.5703125" customWidth="1"/>
    <col min="5" max="5" width="15.5703125" bestFit="1" customWidth="1"/>
    <col min="6" max="6" width="10.28515625" customWidth="1"/>
    <col min="7" max="8" width="14.7109375" bestFit="1" customWidth="1"/>
    <col min="9" max="9" width="15" bestFit="1" customWidth="1"/>
    <col min="10" max="11" width="14.7109375" bestFit="1" customWidth="1"/>
    <col min="12" max="12" width="12.7109375" bestFit="1" customWidth="1"/>
  </cols>
  <sheetData>
    <row r="2" spans="1:15" ht="21.75" thickBot="1">
      <c r="C2" s="151" t="s">
        <v>197</v>
      </c>
    </row>
    <row r="3" spans="1:15">
      <c r="A3" s="204" t="s">
        <v>0</v>
      </c>
      <c r="B3" s="207" t="s">
        <v>1</v>
      </c>
      <c r="C3" s="207" t="s">
        <v>2</v>
      </c>
      <c r="D3" s="212" t="s">
        <v>3</v>
      </c>
      <c r="E3" s="213"/>
      <c r="F3" s="213"/>
      <c r="G3" s="213"/>
      <c r="H3" s="213"/>
      <c r="I3" s="213"/>
      <c r="J3" s="213"/>
      <c r="K3" s="213"/>
      <c r="L3" s="214"/>
      <c r="M3" s="1"/>
      <c r="N3" s="204"/>
      <c r="O3" s="217"/>
    </row>
    <row r="4" spans="1:15">
      <c r="A4" s="205"/>
      <c r="B4" s="208"/>
      <c r="C4" s="208"/>
      <c r="D4" s="215" t="s">
        <v>4</v>
      </c>
      <c r="E4" s="215"/>
      <c r="F4" s="215"/>
      <c r="G4" s="215" t="s">
        <v>5</v>
      </c>
      <c r="H4" s="215"/>
      <c r="I4" s="215"/>
      <c r="J4" s="215"/>
      <c r="K4" s="215"/>
      <c r="L4" s="216"/>
      <c r="M4" s="1"/>
      <c r="N4" s="205"/>
      <c r="O4" s="218"/>
    </row>
    <row r="5" spans="1:15" ht="43.5" thickBot="1">
      <c r="A5" s="206"/>
      <c r="B5" s="209"/>
      <c r="C5" s="209"/>
      <c r="D5" s="2" t="s">
        <v>6</v>
      </c>
      <c r="E5" s="182" t="s">
        <v>7</v>
      </c>
      <c r="F5" s="182" t="s">
        <v>8</v>
      </c>
      <c r="G5" s="2" t="s">
        <v>6</v>
      </c>
      <c r="H5" s="182" t="s">
        <v>7</v>
      </c>
      <c r="I5" s="182" t="s">
        <v>8</v>
      </c>
      <c r="J5" s="2" t="s">
        <v>6</v>
      </c>
      <c r="K5" s="182" t="s">
        <v>7</v>
      </c>
      <c r="L5" s="4" t="s">
        <v>8</v>
      </c>
      <c r="M5" s="1"/>
      <c r="N5" s="206"/>
      <c r="O5" s="209"/>
    </row>
    <row r="6" spans="1:15" ht="18.75">
      <c r="A6" s="5"/>
      <c r="B6" s="222" t="s">
        <v>9</v>
      </c>
      <c r="C6" s="153" t="s">
        <v>131</v>
      </c>
      <c r="D6" s="71"/>
      <c r="E6" s="71"/>
      <c r="F6" s="72"/>
      <c r="G6" s="71"/>
      <c r="H6" s="71"/>
      <c r="I6" s="73"/>
      <c r="J6" s="71"/>
      <c r="K6" s="71"/>
      <c r="L6" s="74"/>
      <c r="M6" s="1"/>
      <c r="N6" s="5"/>
      <c r="O6" s="7"/>
    </row>
    <row r="7" spans="1:15" ht="19.5" customHeight="1">
      <c r="A7" s="98"/>
      <c r="B7" s="223"/>
      <c r="C7" s="142" t="s">
        <v>203</v>
      </c>
      <c r="D7" s="71"/>
      <c r="E7" s="71"/>
      <c r="F7" s="72"/>
      <c r="G7" s="71">
        <v>1</v>
      </c>
      <c r="H7" s="71">
        <v>0.43</v>
      </c>
      <c r="I7" s="73">
        <f>G7/H7*100</f>
        <v>232.55813953488374</v>
      </c>
      <c r="J7" s="71"/>
      <c r="K7" s="71"/>
      <c r="L7" s="74"/>
      <c r="M7" s="1"/>
      <c r="N7" s="98"/>
      <c r="O7" s="7"/>
    </row>
    <row r="8" spans="1:15" ht="16.5" customHeight="1">
      <c r="A8" s="98"/>
      <c r="B8" s="223"/>
      <c r="C8" s="10" t="s">
        <v>208</v>
      </c>
      <c r="D8" s="71">
        <v>4.9000000000000004</v>
      </c>
      <c r="E8" s="71">
        <v>4.83</v>
      </c>
      <c r="F8" s="72">
        <f>D8/E8*100</f>
        <v>101.44927536231884</v>
      </c>
      <c r="G8" s="71"/>
      <c r="H8" s="71"/>
      <c r="I8" s="73"/>
      <c r="J8" s="71"/>
      <c r="K8" s="71"/>
      <c r="L8" s="74"/>
      <c r="M8" s="1"/>
      <c r="N8" s="98"/>
      <c r="O8" s="7"/>
    </row>
    <row r="9" spans="1:15" ht="16.5" customHeight="1">
      <c r="A9" s="98"/>
      <c r="B9" s="223"/>
      <c r="C9" s="122" t="s">
        <v>216</v>
      </c>
      <c r="D9" s="71">
        <v>20.96</v>
      </c>
      <c r="E9" s="71">
        <v>20.96</v>
      </c>
      <c r="F9" s="72">
        <f t="shared" ref="F9:F14" si="0">D9/E9*100</f>
        <v>100</v>
      </c>
      <c r="G9" s="71"/>
      <c r="H9" s="71"/>
      <c r="I9" s="73"/>
      <c r="J9" s="71"/>
      <c r="K9" s="71"/>
      <c r="L9" s="74"/>
      <c r="M9" s="1"/>
      <c r="N9" s="98"/>
      <c r="O9" s="7"/>
    </row>
    <row r="10" spans="1:15" ht="16.5" customHeight="1">
      <c r="A10" s="98"/>
      <c r="B10" s="223"/>
      <c r="C10" s="160" t="s">
        <v>155</v>
      </c>
      <c r="D10" s="71">
        <v>0.25</v>
      </c>
      <c r="E10" s="71">
        <v>0.2</v>
      </c>
      <c r="F10" s="72">
        <f t="shared" si="0"/>
        <v>125</v>
      </c>
      <c r="G10" s="71"/>
      <c r="H10" s="71"/>
      <c r="I10" s="73"/>
      <c r="J10" s="71"/>
      <c r="K10" s="71"/>
      <c r="L10" s="74"/>
      <c r="M10" s="1"/>
      <c r="N10" s="98"/>
      <c r="O10" s="7"/>
    </row>
    <row r="11" spans="1:15" ht="16.5" customHeight="1">
      <c r="A11" s="98"/>
      <c r="B11" s="223"/>
      <c r="C11" s="106" t="s">
        <v>210</v>
      </c>
      <c r="D11" s="71">
        <v>0.5</v>
      </c>
      <c r="E11" s="71">
        <v>0.32</v>
      </c>
      <c r="F11" s="72">
        <f t="shared" si="0"/>
        <v>156.25</v>
      </c>
      <c r="G11" s="71"/>
      <c r="H11" s="71"/>
      <c r="I11" s="73"/>
      <c r="J11" s="71"/>
      <c r="K11" s="71"/>
      <c r="L11" s="74"/>
      <c r="M11" s="1"/>
      <c r="N11" s="98"/>
      <c r="O11" s="7"/>
    </row>
    <row r="12" spans="1:15" ht="16.5" customHeight="1">
      <c r="A12" s="98"/>
      <c r="B12" s="223"/>
      <c r="C12" s="106" t="s">
        <v>211</v>
      </c>
      <c r="D12" s="71">
        <v>2.25</v>
      </c>
      <c r="E12" s="71">
        <v>2.13</v>
      </c>
      <c r="F12" s="72">
        <f t="shared" si="0"/>
        <v>105.63380281690142</v>
      </c>
      <c r="G12" s="71"/>
      <c r="H12" s="71"/>
      <c r="I12" s="73"/>
      <c r="J12" s="71"/>
      <c r="K12" s="71"/>
      <c r="L12" s="74"/>
      <c r="M12" s="1"/>
      <c r="N12" s="98"/>
      <c r="O12" s="7"/>
    </row>
    <row r="13" spans="1:15" ht="16.5" customHeight="1">
      <c r="A13" s="98"/>
      <c r="B13" s="223"/>
      <c r="C13" s="106" t="s">
        <v>161</v>
      </c>
      <c r="D13" s="71">
        <v>1</v>
      </c>
      <c r="E13" s="71">
        <v>0.92</v>
      </c>
      <c r="F13" s="72">
        <f t="shared" si="0"/>
        <v>108.69565217391303</v>
      </c>
      <c r="G13" s="71"/>
      <c r="H13" s="71"/>
      <c r="I13" s="73"/>
      <c r="J13" s="71"/>
      <c r="K13" s="71"/>
      <c r="L13" s="74"/>
      <c r="M13" s="1"/>
      <c r="N13" s="98"/>
      <c r="O13" s="7"/>
    </row>
    <row r="14" spans="1:15" ht="16.5" customHeight="1">
      <c r="A14" s="98"/>
      <c r="B14" s="223"/>
      <c r="C14" s="122" t="s">
        <v>178</v>
      </c>
      <c r="D14" s="71">
        <v>5.5</v>
      </c>
      <c r="E14" s="71">
        <v>3.63</v>
      </c>
      <c r="F14" s="72">
        <f t="shared" si="0"/>
        <v>151.5151515151515</v>
      </c>
      <c r="G14" s="71"/>
      <c r="H14" s="71"/>
      <c r="I14" s="73"/>
      <c r="J14" s="71"/>
      <c r="K14" s="71"/>
      <c r="L14" s="74"/>
      <c r="M14" s="1"/>
      <c r="N14" s="98"/>
      <c r="O14" s="7"/>
    </row>
    <row r="15" spans="1:15" ht="15.75">
      <c r="A15" s="98"/>
      <c r="B15" s="223"/>
      <c r="C15" s="154"/>
      <c r="D15" s="71"/>
      <c r="E15" s="71"/>
      <c r="F15" s="72"/>
      <c r="G15" s="71"/>
      <c r="H15" s="71"/>
      <c r="I15" s="73"/>
      <c r="J15" s="71"/>
      <c r="K15" s="71"/>
      <c r="L15" s="74"/>
      <c r="M15" s="1"/>
      <c r="N15" s="98"/>
      <c r="O15" s="7"/>
    </row>
    <row r="16" spans="1:15" ht="15.75" customHeight="1">
      <c r="A16" s="179">
        <v>1</v>
      </c>
      <c r="B16" s="223"/>
      <c r="C16" s="104"/>
      <c r="D16" s="11"/>
      <c r="E16" s="75"/>
      <c r="F16" s="72"/>
      <c r="G16" s="75"/>
      <c r="H16" s="75"/>
      <c r="I16" s="77"/>
      <c r="J16" s="75"/>
      <c r="K16" s="75"/>
      <c r="L16" s="78"/>
      <c r="M16" s="1"/>
      <c r="N16" s="179"/>
      <c r="O16" s="10"/>
    </row>
    <row r="17" spans="1:15" ht="15.75">
      <c r="A17" s="18"/>
      <c r="B17" s="79"/>
      <c r="C17" s="20" t="s">
        <v>11</v>
      </c>
      <c r="D17" s="21"/>
      <c r="E17" s="21"/>
      <c r="F17" s="72"/>
      <c r="G17" s="80"/>
      <c r="H17" s="80"/>
      <c r="I17" s="81"/>
      <c r="J17" s="80"/>
      <c r="K17" s="80"/>
      <c r="L17" s="82"/>
      <c r="M17" s="25"/>
      <c r="N17" s="18"/>
      <c r="O17" s="26"/>
    </row>
    <row r="18" spans="1:15" ht="17.25" customHeight="1">
      <c r="A18" s="199">
        <v>4</v>
      </c>
      <c r="B18" s="219" t="s">
        <v>12</v>
      </c>
      <c r="C18" s="184" t="s">
        <v>199</v>
      </c>
      <c r="D18" s="75"/>
      <c r="E18" s="75"/>
      <c r="F18" s="72"/>
      <c r="G18" s="75">
        <v>24</v>
      </c>
      <c r="H18" s="75">
        <v>25.6</v>
      </c>
      <c r="I18" s="76">
        <f>G18/H18</f>
        <v>0.9375</v>
      </c>
      <c r="J18" s="75"/>
      <c r="K18" s="75"/>
      <c r="L18" s="78"/>
      <c r="M18" s="1"/>
      <c r="N18" s="199"/>
      <c r="O18" s="27"/>
    </row>
    <row r="19" spans="1:15" ht="19.5" customHeight="1">
      <c r="A19" s="200"/>
      <c r="B19" s="220"/>
      <c r="C19" s="142" t="s">
        <v>90</v>
      </c>
      <c r="D19" s="75"/>
      <c r="E19" s="75"/>
      <c r="F19" s="72"/>
      <c r="G19" s="75">
        <v>19</v>
      </c>
      <c r="H19" s="75">
        <v>19.36</v>
      </c>
      <c r="I19" s="76">
        <f t="shared" ref="I19:I29" si="1">G19/H19</f>
        <v>0.98140495867768596</v>
      </c>
      <c r="J19" s="75"/>
      <c r="K19" s="75"/>
      <c r="L19" s="78"/>
      <c r="M19" s="1"/>
      <c r="N19" s="200"/>
      <c r="O19" s="27"/>
    </row>
    <row r="20" spans="1:15" ht="17.25" customHeight="1">
      <c r="A20" s="200"/>
      <c r="B20" s="220"/>
      <c r="C20" s="142" t="s">
        <v>100</v>
      </c>
      <c r="D20" s="75"/>
      <c r="E20" s="75"/>
      <c r="F20" s="72"/>
      <c r="G20" s="75">
        <v>20.440000000000001</v>
      </c>
      <c r="H20" s="75">
        <v>18.5</v>
      </c>
      <c r="I20" s="76">
        <f t="shared" si="1"/>
        <v>1.1048648648648649</v>
      </c>
      <c r="J20" s="75"/>
      <c r="K20" s="75"/>
      <c r="L20" s="78"/>
      <c r="M20" s="1"/>
      <c r="N20" s="200"/>
      <c r="O20" s="27"/>
    </row>
    <row r="21" spans="1:15" ht="15.75">
      <c r="A21" s="200"/>
      <c r="B21" s="220"/>
      <c r="C21" s="142" t="s">
        <v>186</v>
      </c>
      <c r="D21" s="75"/>
      <c r="E21" s="75"/>
      <c r="F21" s="72"/>
      <c r="G21" s="75">
        <v>94</v>
      </c>
      <c r="H21" s="75">
        <v>112.94</v>
      </c>
      <c r="I21" s="76">
        <f t="shared" si="1"/>
        <v>0.83230033646183821</v>
      </c>
      <c r="J21" s="75"/>
      <c r="K21" s="75"/>
      <c r="L21" s="78"/>
      <c r="M21" s="1"/>
      <c r="N21" s="200"/>
      <c r="O21" s="27"/>
    </row>
    <row r="22" spans="1:15" ht="17.25" customHeight="1">
      <c r="A22" s="200"/>
      <c r="B22" s="220"/>
      <c r="C22" s="142" t="s">
        <v>200</v>
      </c>
      <c r="D22" s="75"/>
      <c r="E22" s="75"/>
      <c r="F22" s="72"/>
      <c r="G22" s="75">
        <v>1</v>
      </c>
      <c r="H22" s="75">
        <v>0.56999999999999995</v>
      </c>
      <c r="I22" s="76">
        <f t="shared" si="1"/>
        <v>1.7543859649122808</v>
      </c>
      <c r="J22" s="75"/>
      <c r="K22" s="75"/>
      <c r="L22" s="83"/>
      <c r="M22" s="1"/>
      <c r="N22" s="200"/>
      <c r="O22" s="27"/>
    </row>
    <row r="23" spans="1:15" ht="18" customHeight="1">
      <c r="A23" s="200"/>
      <c r="B23" s="220"/>
      <c r="C23" s="142" t="s">
        <v>201</v>
      </c>
      <c r="D23" s="75"/>
      <c r="E23" s="75"/>
      <c r="F23" s="72"/>
      <c r="G23" s="75">
        <v>2</v>
      </c>
      <c r="H23" s="75">
        <v>1.6</v>
      </c>
      <c r="I23" s="76">
        <f t="shared" si="1"/>
        <v>1.25</v>
      </c>
      <c r="J23" s="75"/>
      <c r="K23" s="75"/>
      <c r="L23" s="78"/>
      <c r="M23" s="1"/>
      <c r="N23" s="200"/>
      <c r="O23" s="28"/>
    </row>
    <row r="24" spans="1:15" ht="15.75">
      <c r="A24" s="200"/>
      <c r="B24" s="220"/>
      <c r="C24" s="142" t="s">
        <v>188</v>
      </c>
      <c r="D24" s="75"/>
      <c r="E24" s="75"/>
      <c r="F24" s="72"/>
      <c r="G24" s="75">
        <v>31</v>
      </c>
      <c r="H24" s="75">
        <v>21.33</v>
      </c>
      <c r="I24" s="76">
        <f t="shared" si="1"/>
        <v>1.4533520862634788</v>
      </c>
      <c r="J24" s="75"/>
      <c r="K24" s="75"/>
      <c r="L24" s="78"/>
      <c r="M24" s="1"/>
      <c r="N24" s="200"/>
      <c r="O24" s="29"/>
    </row>
    <row r="25" spans="1:15" ht="15.75">
      <c r="A25" s="200"/>
      <c r="B25" s="220"/>
      <c r="C25" s="185" t="s">
        <v>190</v>
      </c>
      <c r="D25" s="75"/>
      <c r="E25" s="75"/>
      <c r="F25" s="72"/>
      <c r="G25" s="75">
        <v>64.73</v>
      </c>
      <c r="H25" s="186">
        <v>51</v>
      </c>
      <c r="I25" s="76">
        <f t="shared" si="1"/>
        <v>1.2692156862745099</v>
      </c>
      <c r="J25" s="75"/>
      <c r="K25" s="75"/>
      <c r="L25" s="78"/>
      <c r="M25" s="1"/>
      <c r="N25" s="200"/>
      <c r="O25" s="29"/>
    </row>
    <row r="26" spans="1:15" ht="15.75">
      <c r="A26" s="200"/>
      <c r="B26" s="220"/>
      <c r="C26" s="185" t="s">
        <v>191</v>
      </c>
      <c r="D26" s="75"/>
      <c r="E26" s="75"/>
      <c r="F26" s="72"/>
      <c r="G26" s="75">
        <v>97.67</v>
      </c>
      <c r="H26" s="187">
        <v>81</v>
      </c>
      <c r="I26" s="76">
        <f t="shared" si="1"/>
        <v>1.2058024691358025</v>
      </c>
      <c r="J26" s="75"/>
      <c r="K26" s="75"/>
      <c r="L26" s="78"/>
      <c r="M26" s="1"/>
      <c r="N26" s="200"/>
      <c r="O26" s="30"/>
    </row>
    <row r="27" spans="1:15" ht="15.75">
      <c r="A27" s="200"/>
      <c r="B27" s="220"/>
      <c r="C27" s="178" t="s">
        <v>192</v>
      </c>
      <c r="D27" s="75"/>
      <c r="E27" s="75"/>
      <c r="F27" s="72"/>
      <c r="G27" s="75">
        <v>0.5</v>
      </c>
      <c r="H27" s="75">
        <v>0.4</v>
      </c>
      <c r="I27" s="76">
        <f t="shared" si="1"/>
        <v>1.25</v>
      </c>
      <c r="J27" s="75"/>
      <c r="K27" s="75"/>
      <c r="L27" s="83"/>
      <c r="M27" s="1"/>
      <c r="N27" s="200"/>
      <c r="O27" s="29"/>
    </row>
    <row r="28" spans="1:15" ht="15.75">
      <c r="A28" s="200"/>
      <c r="B28" s="220"/>
      <c r="C28" s="178" t="s">
        <v>202</v>
      </c>
      <c r="D28" s="75"/>
      <c r="E28" s="75"/>
      <c r="F28" s="72"/>
      <c r="G28" s="75">
        <v>17</v>
      </c>
      <c r="H28" s="75"/>
      <c r="I28" s="76"/>
      <c r="J28" s="75"/>
      <c r="K28" s="75"/>
      <c r="L28" s="78"/>
      <c r="M28" s="1"/>
      <c r="N28" s="200"/>
      <c r="O28" s="29"/>
    </row>
    <row r="29" spans="1:15" ht="15.75">
      <c r="A29" s="200"/>
      <c r="B29" s="220"/>
      <c r="C29" s="142" t="s">
        <v>203</v>
      </c>
      <c r="D29" s="75"/>
      <c r="E29" s="75"/>
      <c r="F29" s="72"/>
      <c r="G29" s="75">
        <v>7.68</v>
      </c>
      <c r="H29" s="75">
        <v>7.68</v>
      </c>
      <c r="I29" s="76">
        <f t="shared" si="1"/>
        <v>1</v>
      </c>
      <c r="J29" s="75"/>
      <c r="K29" s="75"/>
      <c r="L29" s="78"/>
      <c r="M29" s="1"/>
      <c r="N29" s="200"/>
      <c r="O29" s="29"/>
    </row>
    <row r="30" spans="1:15" ht="17.25" customHeight="1">
      <c r="A30" s="200"/>
      <c r="B30" s="220"/>
      <c r="C30" s="59" t="s">
        <v>28</v>
      </c>
      <c r="D30" s="75">
        <v>51</v>
      </c>
      <c r="E30" s="75">
        <v>15</v>
      </c>
      <c r="F30" s="72">
        <f>D30/E30*100</f>
        <v>340</v>
      </c>
      <c r="G30" s="75"/>
      <c r="H30" s="75"/>
      <c r="I30" s="76"/>
      <c r="J30" s="75"/>
      <c r="K30" s="75"/>
      <c r="L30" s="78"/>
      <c r="M30" s="1"/>
      <c r="N30" s="200"/>
      <c r="O30" s="31"/>
    </row>
    <row r="31" spans="1:15" ht="17.25" customHeight="1">
      <c r="A31" s="200"/>
      <c r="B31" s="220"/>
      <c r="C31" s="16" t="s">
        <v>218</v>
      </c>
      <c r="D31" s="75">
        <v>2.79</v>
      </c>
      <c r="E31" s="75">
        <v>8.8699999999999992</v>
      </c>
      <c r="F31" s="72">
        <f t="shared" ref="F31:F54" si="2">D31/E31*100</f>
        <v>31.454340473506203</v>
      </c>
      <c r="G31" s="75"/>
      <c r="H31" s="75"/>
      <c r="I31" s="76"/>
      <c r="J31" s="75"/>
      <c r="K31" s="75"/>
      <c r="L31" s="78"/>
      <c r="M31" s="1"/>
      <c r="N31" s="200"/>
      <c r="O31" s="31"/>
    </row>
    <row r="32" spans="1:15" ht="18.75" customHeight="1">
      <c r="A32" s="200"/>
      <c r="B32" s="220"/>
      <c r="C32" s="16" t="s">
        <v>205</v>
      </c>
      <c r="D32" s="75">
        <v>0.93</v>
      </c>
      <c r="E32" s="75">
        <v>1.66</v>
      </c>
      <c r="F32" s="72">
        <f t="shared" si="2"/>
        <v>56.02409638554218</v>
      </c>
      <c r="G32" s="75"/>
      <c r="H32" s="75"/>
      <c r="I32" s="76"/>
      <c r="J32" s="75"/>
      <c r="K32" s="75"/>
      <c r="L32" s="78"/>
      <c r="M32" s="1"/>
      <c r="N32" s="200"/>
      <c r="O32" s="31"/>
    </row>
    <row r="33" spans="1:15" ht="18.75" customHeight="1">
      <c r="A33" s="189"/>
      <c r="B33" s="191"/>
      <c r="C33" s="61" t="s">
        <v>206</v>
      </c>
      <c r="D33" s="75">
        <v>0.25</v>
      </c>
      <c r="E33" s="75">
        <v>0.19</v>
      </c>
      <c r="F33" s="72">
        <f t="shared" si="2"/>
        <v>131.57894736842107</v>
      </c>
      <c r="G33" s="75"/>
      <c r="H33" s="75"/>
      <c r="I33" s="76"/>
      <c r="J33" s="75"/>
      <c r="K33" s="75"/>
      <c r="L33" s="78"/>
      <c r="M33" s="1"/>
      <c r="N33" s="189"/>
      <c r="O33" s="31"/>
    </row>
    <row r="34" spans="1:15" ht="18.75" customHeight="1">
      <c r="A34" s="189"/>
      <c r="B34" s="191"/>
      <c r="C34" s="106" t="s">
        <v>207</v>
      </c>
      <c r="D34" s="75">
        <v>1</v>
      </c>
      <c r="E34" s="75">
        <v>0.4</v>
      </c>
      <c r="F34" s="72">
        <f t="shared" si="2"/>
        <v>250</v>
      </c>
      <c r="G34" s="75"/>
      <c r="H34" s="75"/>
      <c r="I34" s="76"/>
      <c r="J34" s="75"/>
      <c r="K34" s="75"/>
      <c r="L34" s="78"/>
      <c r="M34" s="1"/>
      <c r="N34" s="189"/>
      <c r="O34" s="31"/>
    </row>
    <row r="35" spans="1:15" ht="18.75" customHeight="1">
      <c r="A35" s="189"/>
      <c r="B35" s="191"/>
      <c r="C35" s="33" t="s">
        <v>13</v>
      </c>
      <c r="D35" s="75">
        <v>10</v>
      </c>
      <c r="E35" s="75">
        <v>10</v>
      </c>
      <c r="F35" s="72">
        <f t="shared" si="2"/>
        <v>100</v>
      </c>
      <c r="G35" s="75"/>
      <c r="H35" s="75"/>
      <c r="I35" s="76"/>
      <c r="J35" s="75"/>
      <c r="K35" s="75"/>
      <c r="L35" s="78"/>
      <c r="M35" s="1"/>
      <c r="N35" s="189"/>
      <c r="O35" s="31"/>
    </row>
    <row r="36" spans="1:15" ht="18.75" customHeight="1">
      <c r="A36" s="189"/>
      <c r="B36" s="191"/>
      <c r="C36" s="10" t="s">
        <v>208</v>
      </c>
      <c r="D36" s="75">
        <v>9.5</v>
      </c>
      <c r="E36" s="75">
        <v>14.5</v>
      </c>
      <c r="F36" s="72">
        <f t="shared" si="2"/>
        <v>65.517241379310349</v>
      </c>
      <c r="G36" s="75"/>
      <c r="H36" s="75"/>
      <c r="I36" s="76"/>
      <c r="J36" s="75"/>
      <c r="K36" s="75"/>
      <c r="L36" s="78"/>
      <c r="M36" s="1"/>
      <c r="N36" s="189"/>
      <c r="O36" s="31"/>
    </row>
    <row r="37" spans="1:15" ht="18.75" customHeight="1">
      <c r="A37" s="189"/>
      <c r="B37" s="191"/>
      <c r="C37" s="111" t="s">
        <v>209</v>
      </c>
      <c r="D37" s="75">
        <v>24</v>
      </c>
      <c r="E37" s="75">
        <v>11.8</v>
      </c>
      <c r="F37" s="72">
        <f t="shared" si="2"/>
        <v>203.38983050847457</v>
      </c>
      <c r="G37" s="75"/>
      <c r="H37" s="75"/>
      <c r="I37" s="76"/>
      <c r="J37" s="75"/>
      <c r="K37" s="75"/>
      <c r="L37" s="78"/>
      <c r="M37" s="1"/>
      <c r="N37" s="189"/>
      <c r="O37" s="31"/>
    </row>
    <row r="38" spans="1:15" ht="18.75" customHeight="1">
      <c r="A38" s="189"/>
      <c r="B38" s="191"/>
      <c r="C38" s="160" t="s">
        <v>154</v>
      </c>
      <c r="D38" s="75">
        <v>4</v>
      </c>
      <c r="E38" s="75">
        <v>2.69</v>
      </c>
      <c r="F38" s="72">
        <f t="shared" si="2"/>
        <v>148.69888475836433</v>
      </c>
      <c r="G38" s="75"/>
      <c r="H38" s="75"/>
      <c r="I38" s="76"/>
      <c r="J38" s="75"/>
      <c r="K38" s="75"/>
      <c r="L38" s="78"/>
      <c r="M38" s="1"/>
      <c r="N38" s="189"/>
      <c r="O38" s="31"/>
    </row>
    <row r="39" spans="1:15" ht="18.75" customHeight="1">
      <c r="A39" s="189"/>
      <c r="B39" s="191"/>
      <c r="C39" s="160" t="s">
        <v>155</v>
      </c>
      <c r="D39" s="75">
        <v>0.5</v>
      </c>
      <c r="E39" s="75">
        <v>2.44</v>
      </c>
      <c r="F39" s="72">
        <f t="shared" si="2"/>
        <v>20.491803278688526</v>
      </c>
      <c r="G39" s="75"/>
      <c r="H39" s="75"/>
      <c r="I39" s="76"/>
      <c r="J39" s="75"/>
      <c r="K39" s="75"/>
      <c r="L39" s="78"/>
      <c r="M39" s="1"/>
      <c r="N39" s="189"/>
      <c r="O39" s="31"/>
    </row>
    <row r="40" spans="1:15" ht="18.75" customHeight="1">
      <c r="A40" s="189"/>
      <c r="B40" s="191"/>
      <c r="C40" s="106" t="s">
        <v>210</v>
      </c>
      <c r="D40" s="75">
        <v>1</v>
      </c>
      <c r="E40" s="75">
        <v>0.64</v>
      </c>
      <c r="F40" s="72">
        <f t="shared" si="2"/>
        <v>156.25</v>
      </c>
      <c r="G40" s="75"/>
      <c r="H40" s="75"/>
      <c r="I40" s="76"/>
      <c r="J40" s="75"/>
      <c r="K40" s="75"/>
      <c r="L40" s="78"/>
      <c r="M40" s="1"/>
      <c r="N40" s="189"/>
      <c r="O40" s="31"/>
    </row>
    <row r="41" spans="1:15" ht="18.75" customHeight="1">
      <c r="A41" s="189"/>
      <c r="B41" s="191"/>
      <c r="C41" s="106" t="s">
        <v>211</v>
      </c>
      <c r="D41" s="75">
        <v>7</v>
      </c>
      <c r="E41" s="75">
        <v>4.26</v>
      </c>
      <c r="F41" s="72">
        <f t="shared" si="2"/>
        <v>164.3192488262911</v>
      </c>
      <c r="G41" s="75"/>
      <c r="H41" s="75"/>
      <c r="I41" s="76"/>
      <c r="J41" s="75"/>
      <c r="K41" s="75"/>
      <c r="L41" s="78"/>
      <c r="M41" s="1"/>
      <c r="N41" s="189"/>
      <c r="O41" s="31"/>
    </row>
    <row r="42" spans="1:15" ht="18.75" customHeight="1">
      <c r="A42" s="189"/>
      <c r="B42" s="191"/>
      <c r="C42" s="106" t="s">
        <v>161</v>
      </c>
      <c r="D42" s="75">
        <v>2</v>
      </c>
      <c r="E42" s="75">
        <v>1.83</v>
      </c>
      <c r="F42" s="72">
        <f t="shared" si="2"/>
        <v>109.28961748633878</v>
      </c>
      <c r="G42" s="75"/>
      <c r="H42" s="75"/>
      <c r="I42" s="76"/>
      <c r="J42" s="75"/>
      <c r="K42" s="75"/>
      <c r="L42" s="78"/>
      <c r="M42" s="1"/>
      <c r="N42" s="189"/>
      <c r="O42" s="31"/>
    </row>
    <row r="43" spans="1:15" ht="18.75" customHeight="1">
      <c r="A43" s="189"/>
      <c r="B43" s="191"/>
      <c r="C43" s="106" t="s">
        <v>212</v>
      </c>
      <c r="D43" s="75">
        <v>3</v>
      </c>
      <c r="E43" s="75">
        <v>3</v>
      </c>
      <c r="F43" s="72">
        <f t="shared" si="2"/>
        <v>100</v>
      </c>
      <c r="G43" s="75"/>
      <c r="H43" s="75"/>
      <c r="I43" s="76"/>
      <c r="J43" s="75"/>
      <c r="K43" s="75"/>
      <c r="L43" s="78"/>
      <c r="M43" s="1"/>
      <c r="N43" s="189"/>
      <c r="O43" s="31"/>
    </row>
    <row r="44" spans="1:15" ht="18.75" customHeight="1">
      <c r="A44" s="180"/>
      <c r="B44" s="195" t="s">
        <v>204</v>
      </c>
      <c r="C44" s="16" t="s">
        <v>213</v>
      </c>
      <c r="D44" s="75">
        <v>8</v>
      </c>
      <c r="E44" s="75">
        <v>12.1</v>
      </c>
      <c r="F44" s="72">
        <f t="shared" si="2"/>
        <v>66.11570247933885</v>
      </c>
      <c r="G44" s="75"/>
      <c r="H44" s="75"/>
      <c r="I44" s="76"/>
      <c r="J44" s="75"/>
      <c r="K44" s="75"/>
      <c r="L44" s="78"/>
      <c r="M44" s="1"/>
      <c r="N44" s="180"/>
      <c r="O44" s="27"/>
    </row>
    <row r="45" spans="1:15" ht="18.75" customHeight="1">
      <c r="A45" s="190"/>
      <c r="B45" s="195"/>
      <c r="C45" s="16" t="s">
        <v>162</v>
      </c>
      <c r="D45" s="75">
        <v>1.5</v>
      </c>
      <c r="E45" s="75">
        <v>1.5</v>
      </c>
      <c r="F45" s="72">
        <f t="shared" si="2"/>
        <v>100</v>
      </c>
      <c r="G45" s="75"/>
      <c r="H45" s="75"/>
      <c r="I45" s="76"/>
      <c r="J45" s="75"/>
      <c r="K45" s="75"/>
      <c r="L45" s="78"/>
      <c r="M45" s="1"/>
      <c r="N45" s="190"/>
      <c r="O45" s="27"/>
    </row>
    <row r="46" spans="1:15" ht="18.75" customHeight="1">
      <c r="A46" s="190"/>
      <c r="B46" s="195"/>
      <c r="C46" s="115" t="s">
        <v>67</v>
      </c>
      <c r="D46" s="75">
        <v>8</v>
      </c>
      <c r="E46" s="75">
        <v>3.8</v>
      </c>
      <c r="F46" s="72">
        <f t="shared" si="2"/>
        <v>210.52631578947367</v>
      </c>
      <c r="G46" s="75"/>
      <c r="H46" s="75"/>
      <c r="I46" s="76"/>
      <c r="J46" s="75"/>
      <c r="K46" s="75"/>
      <c r="L46" s="78"/>
      <c r="M46" s="1"/>
      <c r="N46" s="190"/>
      <c r="O46" s="27"/>
    </row>
    <row r="47" spans="1:15" ht="18.75" customHeight="1">
      <c r="A47" s="190"/>
      <c r="B47" s="195"/>
      <c r="C47" s="122" t="s">
        <v>78</v>
      </c>
      <c r="D47" s="75">
        <v>4.05</v>
      </c>
      <c r="E47" s="75">
        <v>21.6</v>
      </c>
      <c r="F47" s="72">
        <f t="shared" si="2"/>
        <v>18.749999999999996</v>
      </c>
      <c r="G47" s="75"/>
      <c r="H47" s="75"/>
      <c r="I47" s="76"/>
      <c r="J47" s="75"/>
      <c r="K47" s="75"/>
      <c r="L47" s="78"/>
      <c r="M47" s="1"/>
      <c r="N47" s="190"/>
      <c r="O47" s="27"/>
    </row>
    <row r="48" spans="1:15" ht="18.75" customHeight="1">
      <c r="A48" s="190"/>
      <c r="B48" s="195"/>
      <c r="C48" s="122" t="s">
        <v>178</v>
      </c>
      <c r="D48" s="75">
        <v>5.4</v>
      </c>
      <c r="E48" s="75">
        <v>5.5</v>
      </c>
      <c r="F48" s="72">
        <f t="shared" si="2"/>
        <v>98.181818181818187</v>
      </c>
      <c r="G48" s="75"/>
      <c r="H48" s="75"/>
      <c r="I48" s="76"/>
      <c r="J48" s="75"/>
      <c r="K48" s="75"/>
      <c r="L48" s="78"/>
      <c r="M48" s="1"/>
      <c r="N48" s="190"/>
      <c r="O48" s="27"/>
    </row>
    <row r="49" spans="1:15" ht="18.75" customHeight="1">
      <c r="A49" s="190"/>
      <c r="B49" s="195"/>
      <c r="C49" s="122" t="s">
        <v>214</v>
      </c>
      <c r="D49" s="75"/>
      <c r="E49" s="75"/>
      <c r="F49" s="72"/>
      <c r="G49" s="75"/>
      <c r="H49" s="75"/>
      <c r="I49" s="76"/>
      <c r="J49" s="75"/>
      <c r="K49" s="75"/>
      <c r="L49" s="78"/>
      <c r="M49" s="1"/>
      <c r="N49" s="190"/>
      <c r="O49" s="27"/>
    </row>
    <row r="50" spans="1:15" ht="18.75" customHeight="1">
      <c r="A50" s="190"/>
      <c r="B50" s="195"/>
      <c r="C50" s="122" t="s">
        <v>215</v>
      </c>
      <c r="D50" s="75">
        <v>60</v>
      </c>
      <c r="E50" s="75">
        <v>64.3</v>
      </c>
      <c r="F50" s="72">
        <f t="shared" si="2"/>
        <v>93.312597200622079</v>
      </c>
      <c r="G50" s="75"/>
      <c r="H50" s="75"/>
      <c r="I50" s="76"/>
      <c r="J50" s="75"/>
      <c r="K50" s="75"/>
      <c r="L50" s="78"/>
      <c r="M50" s="1"/>
      <c r="N50" s="190"/>
      <c r="O50" s="27"/>
    </row>
    <row r="51" spans="1:15" ht="18.75" customHeight="1">
      <c r="A51" s="190"/>
      <c r="B51" s="195"/>
      <c r="C51" s="66" t="s">
        <v>181</v>
      </c>
      <c r="D51" s="75">
        <v>1.5</v>
      </c>
      <c r="E51" s="75">
        <v>1.5</v>
      </c>
      <c r="F51" s="72">
        <f t="shared" si="2"/>
        <v>100</v>
      </c>
      <c r="G51" s="75"/>
      <c r="H51" s="75"/>
      <c r="I51" s="76"/>
      <c r="J51" s="75"/>
      <c r="K51" s="75"/>
      <c r="L51" s="78"/>
      <c r="M51" s="1"/>
      <c r="N51" s="190"/>
      <c r="O51" s="27"/>
    </row>
    <row r="52" spans="1:15" ht="18.75" customHeight="1">
      <c r="A52" s="190"/>
      <c r="B52" s="195"/>
      <c r="C52" s="66" t="s">
        <v>84</v>
      </c>
      <c r="D52" s="75">
        <v>3</v>
      </c>
      <c r="E52" s="75">
        <v>3</v>
      </c>
      <c r="F52" s="72">
        <f t="shared" si="2"/>
        <v>100</v>
      </c>
      <c r="G52" s="75"/>
      <c r="H52" s="75"/>
      <c r="I52" s="76"/>
      <c r="J52" s="75"/>
      <c r="K52" s="75"/>
      <c r="L52" s="78"/>
      <c r="M52" s="1"/>
      <c r="N52" s="190"/>
      <c r="O52" s="27"/>
    </row>
    <row r="53" spans="1:15" ht="18.75" customHeight="1">
      <c r="A53" s="190"/>
      <c r="B53" s="195"/>
      <c r="C53" s="66" t="s">
        <v>86</v>
      </c>
      <c r="D53" s="75">
        <v>54.5</v>
      </c>
      <c r="E53" s="75">
        <v>54.5</v>
      </c>
      <c r="F53" s="72">
        <f t="shared" si="2"/>
        <v>100</v>
      </c>
      <c r="G53" s="75"/>
      <c r="H53" s="75"/>
      <c r="I53" s="76"/>
      <c r="J53" s="75"/>
      <c r="K53" s="75"/>
      <c r="L53" s="78"/>
      <c r="M53" s="1"/>
      <c r="N53" s="190"/>
      <c r="O53" s="27"/>
    </row>
    <row r="54" spans="1:15" ht="18" customHeight="1">
      <c r="A54" s="180"/>
      <c r="B54" s="195"/>
      <c r="C54" s="122" t="s">
        <v>217</v>
      </c>
      <c r="D54" s="75">
        <v>2</v>
      </c>
      <c r="E54" s="75">
        <v>0.68</v>
      </c>
      <c r="F54" s="72">
        <f t="shared" si="2"/>
        <v>294.11764705882348</v>
      </c>
      <c r="G54" s="75"/>
      <c r="H54" s="75"/>
      <c r="I54" s="76"/>
      <c r="J54" s="75"/>
      <c r="K54" s="75"/>
      <c r="L54" s="78"/>
      <c r="M54" s="1"/>
      <c r="N54" s="180"/>
      <c r="O54" s="27"/>
    </row>
    <row r="55" spans="1:15" s="169" customFormat="1" ht="15.75">
      <c r="A55" s="166"/>
      <c r="B55" s="195"/>
      <c r="C55" s="66"/>
      <c r="D55" s="86"/>
      <c r="E55" s="86"/>
      <c r="F55" s="72"/>
      <c r="G55" s="86"/>
      <c r="H55" s="86"/>
      <c r="I55" s="88"/>
      <c r="J55" s="86"/>
      <c r="K55" s="86"/>
      <c r="L55" s="89"/>
      <c r="M55" s="168"/>
      <c r="N55" s="166"/>
      <c r="O55" s="38"/>
    </row>
    <row r="56" spans="1:15" ht="15.75">
      <c r="A56" s="180"/>
      <c r="B56" s="195"/>
      <c r="C56" s="142" t="s">
        <v>200</v>
      </c>
      <c r="D56" s="75"/>
      <c r="E56" s="75"/>
      <c r="F56" s="72"/>
      <c r="G56" s="75">
        <v>0.5</v>
      </c>
      <c r="H56" s="75">
        <v>0.28000000000000003</v>
      </c>
      <c r="I56" s="76">
        <f>G56/H56</f>
        <v>1.7857142857142856</v>
      </c>
      <c r="J56" s="75"/>
      <c r="K56" s="75"/>
      <c r="L56" s="78"/>
      <c r="M56" s="1"/>
      <c r="N56" s="180"/>
      <c r="O56" s="27"/>
    </row>
    <row r="57" spans="1:15" ht="15.75">
      <c r="A57" s="180"/>
      <c r="B57" s="195"/>
      <c r="C57" s="122"/>
      <c r="D57" s="75"/>
      <c r="E57" s="75"/>
      <c r="F57" s="112"/>
      <c r="G57" s="75"/>
      <c r="H57" s="75"/>
      <c r="I57" s="76"/>
      <c r="J57" s="75"/>
      <c r="K57" s="75"/>
      <c r="L57" s="78"/>
      <c r="M57" s="1"/>
      <c r="N57" s="180"/>
      <c r="O57" s="27"/>
    </row>
    <row r="58" spans="1:15" ht="15.75">
      <c r="A58" s="190"/>
      <c r="B58" s="195"/>
      <c r="C58" s="165"/>
      <c r="D58" s="75"/>
      <c r="E58" s="75"/>
      <c r="F58" s="112"/>
      <c r="G58" s="75"/>
      <c r="H58" s="75"/>
      <c r="I58" s="76"/>
      <c r="J58" s="75"/>
      <c r="K58" s="75"/>
      <c r="L58" s="78"/>
      <c r="M58" s="1"/>
      <c r="N58" s="190"/>
      <c r="O58" s="27"/>
    </row>
    <row r="59" spans="1:15" ht="15.75">
      <c r="A59" s="190"/>
      <c r="B59" s="195"/>
      <c r="C59" s="66"/>
      <c r="D59" s="75"/>
      <c r="E59" s="75"/>
      <c r="F59" s="112"/>
      <c r="G59" s="75"/>
      <c r="H59" s="75"/>
      <c r="I59" s="76"/>
      <c r="J59" s="75"/>
      <c r="K59" s="75"/>
      <c r="L59" s="78"/>
      <c r="M59" s="1"/>
      <c r="N59" s="190"/>
      <c r="O59" s="27"/>
    </row>
    <row r="60" spans="1:15" ht="15.75">
      <c r="A60" s="190"/>
      <c r="B60" s="195"/>
      <c r="C60" s="66"/>
      <c r="D60" s="75"/>
      <c r="E60" s="75"/>
      <c r="F60" s="112"/>
      <c r="G60" s="75"/>
      <c r="H60" s="75"/>
      <c r="I60" s="76"/>
      <c r="J60" s="75"/>
      <c r="K60" s="75"/>
      <c r="L60" s="78"/>
      <c r="M60" s="1"/>
      <c r="N60" s="190"/>
      <c r="O60" s="27"/>
    </row>
    <row r="61" spans="1:15" ht="15.75">
      <c r="A61" s="190"/>
      <c r="B61" s="195"/>
      <c r="C61" s="66"/>
      <c r="D61" s="75"/>
      <c r="E61" s="75"/>
      <c r="F61" s="112"/>
      <c r="G61" s="75"/>
      <c r="H61" s="75"/>
      <c r="I61" s="76"/>
      <c r="J61" s="75"/>
      <c r="K61" s="75"/>
      <c r="L61" s="78"/>
      <c r="M61" s="1"/>
      <c r="N61" s="190"/>
      <c r="O61" s="27"/>
    </row>
    <row r="62" spans="1:15" ht="15.75">
      <c r="A62" s="190"/>
      <c r="B62" s="195"/>
      <c r="C62" s="66"/>
      <c r="D62" s="75"/>
      <c r="E62" s="75"/>
      <c r="F62" s="112"/>
      <c r="G62" s="75"/>
      <c r="H62" s="75"/>
      <c r="I62" s="76"/>
      <c r="J62" s="75"/>
      <c r="K62" s="75"/>
      <c r="L62" s="78"/>
      <c r="M62" s="1"/>
      <c r="N62" s="190"/>
      <c r="O62" s="27"/>
    </row>
    <row r="63" spans="1:15" ht="15.75">
      <c r="A63" s="190"/>
      <c r="B63" s="195"/>
      <c r="C63" s="66"/>
      <c r="D63" s="75"/>
      <c r="E63" s="75"/>
      <c r="F63" s="112"/>
      <c r="G63" s="75"/>
      <c r="H63" s="75"/>
      <c r="I63" s="76"/>
      <c r="J63" s="75"/>
      <c r="K63" s="75"/>
      <c r="L63" s="78"/>
      <c r="M63" s="1"/>
      <c r="N63" s="190"/>
      <c r="O63" s="27"/>
    </row>
    <row r="64" spans="1:15" ht="15.75">
      <c r="A64" s="190"/>
      <c r="B64" s="195"/>
      <c r="C64" s="122"/>
      <c r="D64" s="75"/>
      <c r="E64" s="75"/>
      <c r="F64" s="112"/>
      <c r="G64" s="75"/>
      <c r="H64" s="75"/>
      <c r="I64" s="76"/>
      <c r="J64" s="75"/>
      <c r="K64" s="75"/>
      <c r="L64" s="78"/>
      <c r="M64" s="1"/>
      <c r="N64" s="190"/>
      <c r="O64" s="27"/>
    </row>
    <row r="65" spans="1:15" ht="15.75">
      <c r="A65" s="190"/>
      <c r="B65" s="195"/>
      <c r="C65" s="10"/>
      <c r="D65" s="75"/>
      <c r="E65" s="75"/>
      <c r="F65" s="112"/>
      <c r="G65" s="75"/>
      <c r="H65" s="75"/>
      <c r="I65" s="76"/>
      <c r="J65" s="75"/>
      <c r="K65" s="75"/>
      <c r="L65" s="78"/>
      <c r="M65" s="1"/>
      <c r="N65" s="190"/>
      <c r="O65" s="27"/>
    </row>
    <row r="66" spans="1:15" ht="15.75">
      <c r="A66" s="190"/>
      <c r="B66" s="195"/>
      <c r="C66" s="10"/>
      <c r="D66" s="75"/>
      <c r="E66" s="75"/>
      <c r="F66" s="112"/>
      <c r="G66" s="75"/>
      <c r="H66" s="75"/>
      <c r="I66" s="76"/>
      <c r="J66" s="75"/>
      <c r="K66" s="75"/>
      <c r="L66" s="78"/>
      <c r="M66" s="1"/>
      <c r="N66" s="190"/>
      <c r="O66" s="27"/>
    </row>
    <row r="67" spans="1:15" ht="15.75">
      <c r="A67" s="190"/>
      <c r="B67" s="195"/>
      <c r="C67" s="10"/>
      <c r="D67" s="75"/>
      <c r="E67" s="75"/>
      <c r="F67" s="112"/>
      <c r="G67" s="75"/>
      <c r="H67" s="75"/>
      <c r="I67" s="76"/>
      <c r="J67" s="75"/>
      <c r="K67" s="75"/>
      <c r="L67" s="78"/>
      <c r="M67" s="1"/>
      <c r="N67" s="190"/>
      <c r="O67" s="27"/>
    </row>
    <row r="68" spans="1:15" ht="15.75">
      <c r="A68" s="190"/>
      <c r="B68" s="195"/>
      <c r="C68" s="10"/>
      <c r="D68" s="75"/>
      <c r="E68" s="75"/>
      <c r="F68" s="112"/>
      <c r="G68" s="75"/>
      <c r="H68" s="75"/>
      <c r="I68" s="76"/>
      <c r="J68" s="75"/>
      <c r="K68" s="75"/>
      <c r="L68" s="78"/>
      <c r="M68" s="1"/>
      <c r="N68" s="190"/>
      <c r="O68" s="27"/>
    </row>
    <row r="69" spans="1:15" ht="15" customHeight="1">
      <c r="A69" s="180"/>
      <c r="B69" s="195"/>
      <c r="C69" s="116"/>
      <c r="D69" s="75"/>
      <c r="E69" s="75"/>
      <c r="F69" s="112"/>
      <c r="G69" s="75"/>
      <c r="H69" s="75"/>
      <c r="I69" s="76"/>
      <c r="J69" s="75"/>
      <c r="K69" s="75"/>
      <c r="L69" s="78"/>
      <c r="M69" s="1"/>
      <c r="N69" s="180"/>
      <c r="O69" s="27"/>
    </row>
    <row r="70" spans="1:15" ht="15.75">
      <c r="A70" s="47"/>
      <c r="B70" s="91"/>
      <c r="C70" s="163"/>
      <c r="D70" s="86"/>
      <c r="E70" s="86"/>
      <c r="F70" s="112"/>
      <c r="G70" s="86"/>
      <c r="H70" s="86"/>
      <c r="I70" s="88"/>
      <c r="J70" s="86"/>
      <c r="K70" s="86"/>
      <c r="L70" s="92"/>
      <c r="M70" s="25"/>
      <c r="N70" s="50"/>
      <c r="O70" s="43"/>
    </row>
    <row r="71" spans="1:15" ht="17.25" customHeight="1">
      <c r="A71" s="45"/>
      <c r="B71" s="194" t="s">
        <v>89</v>
      </c>
      <c r="C71" s="184" t="s">
        <v>199</v>
      </c>
      <c r="D71" s="75"/>
      <c r="E71" s="75"/>
      <c r="F71" s="112"/>
      <c r="G71" s="75">
        <v>13</v>
      </c>
      <c r="H71" s="75">
        <v>12.6</v>
      </c>
      <c r="I71" s="75">
        <f>G71/H71*100</f>
        <v>103.17460317460319</v>
      </c>
      <c r="J71" s="75"/>
      <c r="K71" s="75"/>
      <c r="L71" s="78"/>
      <c r="M71" s="1"/>
      <c r="N71" s="45"/>
      <c r="O71" s="27"/>
    </row>
    <row r="72" spans="1:15" ht="15.75" customHeight="1">
      <c r="A72" s="56"/>
      <c r="B72" s="195"/>
      <c r="C72" s="142" t="s">
        <v>201</v>
      </c>
      <c r="D72" s="93"/>
      <c r="E72" s="93"/>
      <c r="F72" s="112"/>
      <c r="G72" s="93">
        <v>1</v>
      </c>
      <c r="H72" s="93">
        <v>0.8</v>
      </c>
      <c r="I72" s="75">
        <f t="shared" ref="I72:I73" si="3">G72/H72*100</f>
        <v>125</v>
      </c>
      <c r="J72" s="93"/>
      <c r="K72" s="93"/>
      <c r="L72" s="94"/>
      <c r="M72" s="1"/>
      <c r="N72" s="56"/>
      <c r="O72" s="57"/>
    </row>
    <row r="73" spans="1:15" ht="14.25" customHeight="1">
      <c r="A73" s="56"/>
      <c r="B73" s="195"/>
      <c r="C73" s="178" t="s">
        <v>192</v>
      </c>
      <c r="D73" s="93"/>
      <c r="E73" s="93"/>
      <c r="F73" s="112"/>
      <c r="G73" s="93">
        <v>0.5</v>
      </c>
      <c r="H73" s="93">
        <v>0.2</v>
      </c>
      <c r="I73" s="75">
        <f t="shared" si="3"/>
        <v>250</v>
      </c>
      <c r="J73" s="93"/>
      <c r="K73" s="93"/>
      <c r="L73" s="94"/>
      <c r="M73" s="1"/>
      <c r="N73" s="56"/>
      <c r="O73" s="57"/>
    </row>
    <row r="74" spans="1:15" ht="14.25" customHeight="1">
      <c r="A74" s="56"/>
      <c r="B74" s="195"/>
      <c r="C74" s="111" t="s">
        <v>209</v>
      </c>
      <c r="D74" s="71">
        <v>11.8</v>
      </c>
      <c r="E74" s="71">
        <v>11.8</v>
      </c>
      <c r="F74" s="112">
        <f>D74/E74*100</f>
        <v>100</v>
      </c>
      <c r="G74" s="93"/>
      <c r="H74" s="93"/>
      <c r="I74" s="93"/>
      <c r="J74" s="93"/>
      <c r="K74" s="93"/>
      <c r="L74" s="94"/>
      <c r="M74" s="1"/>
      <c r="N74" s="56"/>
      <c r="O74" s="57"/>
    </row>
    <row r="75" spans="1:15" ht="14.25" customHeight="1">
      <c r="A75" s="56"/>
      <c r="B75" s="195"/>
      <c r="C75" s="16" t="s">
        <v>213</v>
      </c>
      <c r="D75" s="71">
        <v>12.1</v>
      </c>
      <c r="E75" s="71">
        <v>12.1</v>
      </c>
      <c r="F75" s="112">
        <f t="shared" ref="F75:F78" si="4">D75/E75*100</f>
        <v>100</v>
      </c>
      <c r="G75" s="93"/>
      <c r="H75" s="93"/>
      <c r="I75" s="93"/>
      <c r="J75" s="93"/>
      <c r="K75" s="93"/>
      <c r="L75" s="94"/>
      <c r="M75" s="1"/>
      <c r="N75" s="56"/>
      <c r="O75" s="57"/>
    </row>
    <row r="76" spans="1:15" ht="14.25" customHeight="1">
      <c r="A76" s="56"/>
      <c r="B76" s="195"/>
      <c r="C76" s="66" t="s">
        <v>181</v>
      </c>
      <c r="D76" s="93">
        <v>1.25</v>
      </c>
      <c r="E76" s="93">
        <v>1.25</v>
      </c>
      <c r="F76" s="112">
        <f t="shared" si="4"/>
        <v>100</v>
      </c>
      <c r="G76" s="93"/>
      <c r="H76" s="93"/>
      <c r="I76" s="93"/>
      <c r="J76" s="93"/>
      <c r="K76" s="93"/>
      <c r="L76" s="94"/>
      <c r="M76" s="1"/>
      <c r="N76" s="56"/>
      <c r="O76" s="57"/>
    </row>
    <row r="77" spans="1:15" ht="15.75">
      <c r="A77" s="56"/>
      <c r="B77" s="195"/>
      <c r="C77" s="66" t="s">
        <v>84</v>
      </c>
      <c r="D77" s="126">
        <v>1.75</v>
      </c>
      <c r="E77" s="93">
        <v>1.75</v>
      </c>
      <c r="F77" s="112">
        <f t="shared" si="4"/>
        <v>100</v>
      </c>
      <c r="G77" s="93"/>
      <c r="H77" s="93"/>
      <c r="I77" s="93"/>
      <c r="J77" s="93"/>
      <c r="K77" s="93"/>
      <c r="L77" s="94"/>
      <c r="M77" s="1"/>
      <c r="N77" s="56"/>
      <c r="O77" s="57"/>
    </row>
    <row r="78" spans="1:15" ht="31.5">
      <c r="A78" s="56"/>
      <c r="B78" s="196"/>
      <c r="C78" s="122" t="s">
        <v>217</v>
      </c>
      <c r="D78" s="93">
        <v>0.34</v>
      </c>
      <c r="E78" s="93">
        <v>1</v>
      </c>
      <c r="F78" s="112">
        <f t="shared" si="4"/>
        <v>34</v>
      </c>
      <c r="G78" s="93"/>
      <c r="H78" s="93"/>
      <c r="I78" s="93"/>
      <c r="J78" s="93"/>
      <c r="K78" s="93"/>
      <c r="L78" s="94"/>
      <c r="M78" s="1"/>
      <c r="N78" s="56"/>
      <c r="O78" s="57"/>
    </row>
    <row r="79" spans="1:15" ht="15.75">
      <c r="A79" s="51"/>
      <c r="B79" s="95"/>
      <c r="C79" s="85" t="s">
        <v>11</v>
      </c>
      <c r="D79" s="96"/>
      <c r="E79" s="96"/>
      <c r="F79" s="87"/>
      <c r="G79" s="96"/>
      <c r="H79" s="96"/>
      <c r="I79" s="96"/>
      <c r="J79" s="96"/>
      <c r="K79" s="96"/>
      <c r="L79" s="97"/>
      <c r="M79" s="25"/>
      <c r="N79" s="51"/>
      <c r="O79" s="55"/>
    </row>
    <row r="80" spans="1:15">
      <c r="A80" s="1"/>
      <c r="B80" s="1"/>
      <c r="C80" s="17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2" spans="1:12" ht="18.75">
      <c r="B82" s="183" t="s">
        <v>198</v>
      </c>
      <c r="C82" s="183" t="s">
        <v>195</v>
      </c>
    </row>
    <row r="83" spans="1:12" ht="15.75" thickBot="1"/>
    <row r="84" spans="1:12">
      <c r="A84" s="204" t="s">
        <v>0</v>
      </c>
      <c r="B84" s="207" t="s">
        <v>1</v>
      </c>
      <c r="C84" s="210" t="s">
        <v>2</v>
      </c>
      <c r="D84" s="212" t="s">
        <v>3</v>
      </c>
      <c r="E84" s="213"/>
      <c r="F84" s="213"/>
      <c r="G84" s="213"/>
      <c r="H84" s="213"/>
      <c r="I84" s="213"/>
      <c r="J84" s="213"/>
      <c r="K84" s="213"/>
      <c r="L84" s="214"/>
    </row>
    <row r="85" spans="1:12">
      <c r="A85" s="205"/>
      <c r="B85" s="208"/>
      <c r="C85" s="208"/>
      <c r="D85" s="215" t="s">
        <v>4</v>
      </c>
      <c r="E85" s="215"/>
      <c r="F85" s="215"/>
      <c r="G85" s="215" t="s">
        <v>5</v>
      </c>
      <c r="H85" s="215"/>
      <c r="I85" s="215"/>
      <c r="J85" s="215"/>
      <c r="K85" s="215"/>
      <c r="L85" s="216"/>
    </row>
    <row r="86" spans="1:12" ht="43.5" thickBot="1">
      <c r="A86" s="206"/>
      <c r="B86" s="209"/>
      <c r="C86" s="211"/>
      <c r="D86" s="2" t="s">
        <v>6</v>
      </c>
      <c r="E86" s="182" t="s">
        <v>7</v>
      </c>
      <c r="F86" s="182" t="s">
        <v>8</v>
      </c>
      <c r="G86" s="2" t="s">
        <v>6</v>
      </c>
      <c r="H86" s="182" t="s">
        <v>7</v>
      </c>
      <c r="I86" s="182" t="s">
        <v>8</v>
      </c>
      <c r="J86" s="2" t="s">
        <v>6</v>
      </c>
      <c r="K86" s="182" t="s">
        <v>7</v>
      </c>
      <c r="L86" s="4" t="s">
        <v>8</v>
      </c>
    </row>
    <row r="87" spans="1:12" ht="13.5" customHeight="1">
      <c r="A87" s="5"/>
      <c r="B87" s="197" t="s">
        <v>26</v>
      </c>
      <c r="C87" s="184" t="s">
        <v>199</v>
      </c>
      <c r="D87" s="6"/>
      <c r="E87" s="6"/>
      <c r="F87" s="69"/>
      <c r="G87" s="6">
        <v>7.5</v>
      </c>
      <c r="H87" s="6"/>
      <c r="I87" s="8"/>
      <c r="J87" s="6"/>
      <c r="K87" s="6"/>
      <c r="L87" s="9"/>
    </row>
    <row r="88" spans="1:12">
      <c r="A88" s="98"/>
      <c r="B88" s="198"/>
      <c r="C88" s="142" t="s">
        <v>203</v>
      </c>
      <c r="D88" s="6"/>
      <c r="E88" s="6"/>
      <c r="F88" s="69"/>
      <c r="G88" s="6">
        <v>12</v>
      </c>
      <c r="H88" s="6">
        <v>12.1</v>
      </c>
      <c r="I88" s="8">
        <f>G88/H88</f>
        <v>0.99173553719008267</v>
      </c>
      <c r="J88" s="6"/>
      <c r="K88" s="6"/>
      <c r="L88" s="9"/>
    </row>
    <row r="89" spans="1:12" ht="18" customHeight="1">
      <c r="A89" s="98"/>
      <c r="B89" s="198"/>
      <c r="C89" s="33" t="s">
        <v>13</v>
      </c>
      <c r="D89" s="6">
        <v>10</v>
      </c>
      <c r="E89" s="6">
        <v>14.04</v>
      </c>
      <c r="F89" s="69">
        <f>D89/E89*100</f>
        <v>71.225071225071233</v>
      </c>
      <c r="G89" s="6"/>
      <c r="H89" s="6"/>
      <c r="I89" s="8"/>
      <c r="J89" s="6"/>
      <c r="K89" s="6"/>
      <c r="L89" s="9"/>
    </row>
    <row r="90" spans="1:12" ht="31.5">
      <c r="A90" s="98"/>
      <c r="B90" s="198"/>
      <c r="C90" s="10" t="s">
        <v>208</v>
      </c>
      <c r="D90" s="6">
        <v>20</v>
      </c>
      <c r="E90" s="6">
        <v>22.19</v>
      </c>
      <c r="F90" s="69">
        <f t="shared" ref="F90:F96" si="5">D90/E90*100</f>
        <v>90.130689499774661</v>
      </c>
      <c r="G90" s="6"/>
      <c r="H90" s="6"/>
      <c r="I90" s="8"/>
      <c r="J90" s="6"/>
      <c r="K90" s="6"/>
      <c r="L90" s="9"/>
    </row>
    <row r="91" spans="1:12" ht="18" customHeight="1">
      <c r="A91" s="98"/>
      <c r="B91" s="198"/>
      <c r="C91" s="111" t="s">
        <v>209</v>
      </c>
      <c r="D91" s="6">
        <v>28</v>
      </c>
      <c r="E91" s="6">
        <v>28.01</v>
      </c>
      <c r="F91" s="69">
        <f t="shared" si="5"/>
        <v>99.964298464833973</v>
      </c>
      <c r="G91" s="6"/>
      <c r="H91" s="6"/>
      <c r="I91" s="8"/>
      <c r="J91" s="6"/>
      <c r="K91" s="6"/>
      <c r="L91" s="9"/>
    </row>
    <row r="92" spans="1:12" ht="18.75" customHeight="1">
      <c r="A92" s="98"/>
      <c r="B92" s="198"/>
      <c r="C92" s="106" t="s">
        <v>210</v>
      </c>
      <c r="D92" s="6">
        <v>0.75</v>
      </c>
      <c r="E92" s="6">
        <v>0.76</v>
      </c>
      <c r="F92" s="69">
        <f t="shared" si="5"/>
        <v>98.68421052631578</v>
      </c>
      <c r="G92" s="6"/>
      <c r="H92" s="6"/>
      <c r="I92" s="8"/>
      <c r="J92" s="6"/>
      <c r="K92" s="6"/>
      <c r="L92" s="9"/>
    </row>
    <row r="93" spans="1:12" ht="18" customHeight="1">
      <c r="A93" s="98"/>
      <c r="B93" s="198"/>
      <c r="C93" s="106" t="s">
        <v>211</v>
      </c>
      <c r="D93" s="6">
        <v>1.25</v>
      </c>
      <c r="E93" s="6">
        <v>1.24</v>
      </c>
      <c r="F93" s="69">
        <f t="shared" si="5"/>
        <v>100.80645161290323</v>
      </c>
      <c r="G93" s="6"/>
      <c r="H93" s="6"/>
      <c r="I93" s="8"/>
      <c r="J93" s="6"/>
      <c r="K93" s="6"/>
      <c r="L93" s="9"/>
    </row>
    <row r="94" spans="1:12">
      <c r="A94" s="98"/>
      <c r="B94" s="198"/>
      <c r="C94" s="106" t="s">
        <v>161</v>
      </c>
      <c r="D94" s="6">
        <v>2.5</v>
      </c>
      <c r="E94" s="6">
        <v>2.69</v>
      </c>
      <c r="F94" s="69">
        <f t="shared" si="5"/>
        <v>92.936802973977692</v>
      </c>
      <c r="G94" s="6"/>
      <c r="H94" s="6"/>
      <c r="I94" s="8"/>
      <c r="J94" s="6"/>
      <c r="K94" s="6"/>
      <c r="L94" s="9"/>
    </row>
    <row r="95" spans="1:12" ht="16.5" customHeight="1">
      <c r="A95" s="98"/>
      <c r="B95" s="198"/>
      <c r="C95" s="16" t="s">
        <v>213</v>
      </c>
      <c r="D95" s="6">
        <v>28</v>
      </c>
      <c r="E95" s="6">
        <v>36.590000000000003</v>
      </c>
      <c r="F95" s="69">
        <f t="shared" si="5"/>
        <v>76.523640338890402</v>
      </c>
      <c r="G95" s="6"/>
      <c r="H95" s="6"/>
      <c r="I95" s="8"/>
      <c r="J95" s="6"/>
      <c r="K95" s="6"/>
      <c r="L95" s="9"/>
    </row>
    <row r="96" spans="1:12" ht="16.5" customHeight="1">
      <c r="A96" s="98"/>
      <c r="B96" s="198"/>
      <c r="C96" s="66" t="s">
        <v>181</v>
      </c>
      <c r="D96" s="6">
        <v>0.75</v>
      </c>
      <c r="E96" s="6">
        <v>0.75</v>
      </c>
      <c r="F96" s="69">
        <f t="shared" si="5"/>
        <v>100</v>
      </c>
      <c r="G96" s="6"/>
      <c r="H96" s="6"/>
      <c r="I96" s="8"/>
      <c r="J96" s="6"/>
      <c r="K96" s="6"/>
      <c r="L96" s="9"/>
    </row>
    <row r="97" spans="1:12" ht="16.5" customHeight="1">
      <c r="A97" s="98"/>
      <c r="B97" s="198"/>
      <c r="C97" s="66" t="s">
        <v>84</v>
      </c>
      <c r="D97" s="6"/>
      <c r="E97" s="6"/>
      <c r="F97" s="69"/>
      <c r="G97" s="6"/>
      <c r="H97" s="6"/>
      <c r="I97" s="8"/>
      <c r="J97" s="6"/>
      <c r="K97" s="6"/>
      <c r="L97" s="9"/>
    </row>
    <row r="98" spans="1:12" ht="15.75">
      <c r="A98" s="188"/>
      <c r="B98" s="198"/>
      <c r="C98" s="116"/>
      <c r="D98" s="11"/>
      <c r="E98" s="12"/>
      <c r="F98" s="69"/>
      <c r="G98" s="12"/>
      <c r="H98" s="12"/>
      <c r="I98" s="14"/>
      <c r="J98" s="12"/>
      <c r="K98" s="12"/>
      <c r="L98" s="15"/>
    </row>
    <row r="99" spans="1:12" ht="15.75">
      <c r="A99" s="18"/>
      <c r="B99" s="19"/>
      <c r="C99" s="20" t="s">
        <v>11</v>
      </c>
      <c r="D99" s="21"/>
      <c r="E99" s="21"/>
      <c r="F99" s="6"/>
      <c r="G99" s="22"/>
      <c r="H99" s="22"/>
      <c r="I99" s="23"/>
      <c r="J99" s="22"/>
      <c r="K99" s="22"/>
      <c r="L99" s="24"/>
    </row>
    <row r="100" spans="1:12" s="135" customFormat="1" ht="15.75">
      <c r="A100" s="18"/>
      <c r="B100" s="130"/>
      <c r="C100" s="10"/>
      <c r="D100" s="131"/>
      <c r="E100" s="131"/>
      <c r="F100" s="144"/>
      <c r="G100" s="132"/>
      <c r="H100" s="132"/>
      <c r="I100" s="133"/>
      <c r="J100" s="132"/>
      <c r="K100" s="132"/>
      <c r="L100" s="134"/>
    </row>
    <row r="101" spans="1:12" ht="16.5" customHeight="1">
      <c r="A101" s="199">
        <v>4</v>
      </c>
      <c r="B101" s="202" t="s">
        <v>15</v>
      </c>
      <c r="C101" s="184" t="s">
        <v>199</v>
      </c>
      <c r="D101" s="12"/>
      <c r="E101" s="12"/>
      <c r="F101" s="144"/>
      <c r="G101" s="12">
        <v>1.5</v>
      </c>
      <c r="H101" s="12"/>
      <c r="I101" s="13"/>
      <c r="J101" s="12"/>
      <c r="K101" s="12"/>
      <c r="L101" s="15"/>
    </row>
    <row r="102" spans="1:12">
      <c r="A102" s="200"/>
      <c r="B102" s="203"/>
      <c r="C102" s="142" t="s">
        <v>203</v>
      </c>
      <c r="D102" s="12"/>
      <c r="E102" s="12"/>
      <c r="F102" s="144"/>
      <c r="G102" s="12">
        <v>2</v>
      </c>
      <c r="H102" s="12">
        <v>1.73</v>
      </c>
      <c r="I102" s="13">
        <f>G102/H102</f>
        <v>1.1560693641618498</v>
      </c>
      <c r="J102" s="12"/>
      <c r="K102" s="12"/>
      <c r="L102" s="15"/>
    </row>
    <row r="103" spans="1:12" ht="17.25" customHeight="1">
      <c r="A103" s="200"/>
      <c r="B103" s="203"/>
      <c r="C103" s="33" t="s">
        <v>13</v>
      </c>
      <c r="D103" s="12">
        <v>2</v>
      </c>
      <c r="E103" s="12">
        <v>1.51</v>
      </c>
      <c r="F103" s="144">
        <f>D103/E103*100</f>
        <v>132.45033112582783</v>
      </c>
      <c r="G103" s="12"/>
      <c r="H103" s="12"/>
      <c r="I103" s="13"/>
      <c r="J103" s="12"/>
      <c r="K103" s="12"/>
      <c r="L103" s="15"/>
    </row>
    <row r="104" spans="1:12" ht="31.5">
      <c r="A104" s="200"/>
      <c r="B104" s="203"/>
      <c r="C104" s="10" t="s">
        <v>208</v>
      </c>
      <c r="D104" s="12">
        <v>3</v>
      </c>
      <c r="E104" s="12">
        <v>3.34</v>
      </c>
      <c r="F104" s="144">
        <f t="shared" ref="F104:F111" si="6">D104/E104*100</f>
        <v>89.820359281437135</v>
      </c>
      <c r="G104" s="12"/>
      <c r="H104" s="12"/>
      <c r="I104" s="13"/>
      <c r="J104" s="12"/>
      <c r="K104" s="12"/>
      <c r="L104" s="15"/>
    </row>
    <row r="105" spans="1:12" ht="18" customHeight="1">
      <c r="A105" s="200"/>
      <c r="B105" s="203"/>
      <c r="C105" s="111" t="s">
        <v>209</v>
      </c>
      <c r="D105" s="12">
        <v>5.5</v>
      </c>
      <c r="E105" s="12">
        <v>5.0999999999999996</v>
      </c>
      <c r="F105" s="144">
        <f t="shared" si="6"/>
        <v>107.84313725490198</v>
      </c>
      <c r="G105" s="12"/>
      <c r="H105" s="12"/>
      <c r="I105" s="13"/>
      <c r="J105" s="12"/>
      <c r="K105" s="12"/>
      <c r="L105" s="15"/>
    </row>
    <row r="106" spans="1:12" ht="18" customHeight="1">
      <c r="A106" s="200"/>
      <c r="B106" s="203"/>
      <c r="C106" s="16" t="s">
        <v>213</v>
      </c>
      <c r="D106" s="12">
        <v>6</v>
      </c>
      <c r="E106" s="12">
        <v>5.23</v>
      </c>
      <c r="F106" s="144">
        <f t="shared" si="6"/>
        <v>114.72275334608028</v>
      </c>
      <c r="G106" s="12"/>
      <c r="H106" s="12"/>
      <c r="I106" s="13"/>
      <c r="J106" s="12"/>
      <c r="K106" s="12"/>
      <c r="L106" s="15"/>
    </row>
    <row r="107" spans="1:12" ht="15.75">
      <c r="A107" s="200"/>
      <c r="B107" s="203"/>
      <c r="C107" s="66" t="s">
        <v>181</v>
      </c>
      <c r="D107" s="12">
        <v>1</v>
      </c>
      <c r="E107" s="12">
        <v>1</v>
      </c>
      <c r="F107" s="144">
        <f t="shared" si="6"/>
        <v>100</v>
      </c>
      <c r="G107" s="12"/>
      <c r="H107" s="12"/>
      <c r="I107" s="13"/>
      <c r="J107" s="12"/>
      <c r="K107" s="12"/>
      <c r="L107" s="15"/>
    </row>
    <row r="108" spans="1:12" ht="15.75">
      <c r="A108" s="200"/>
      <c r="B108" s="203"/>
      <c r="C108" s="66" t="s">
        <v>84</v>
      </c>
      <c r="D108" s="12">
        <v>0.5</v>
      </c>
      <c r="E108" s="12">
        <v>0.5</v>
      </c>
      <c r="F108" s="144">
        <f t="shared" si="6"/>
        <v>100</v>
      </c>
      <c r="G108" s="12"/>
      <c r="H108" s="12"/>
      <c r="I108" s="70"/>
      <c r="J108" s="12"/>
      <c r="K108" s="12"/>
      <c r="L108" s="15"/>
    </row>
    <row r="109" spans="1:12" ht="16.5" customHeight="1">
      <c r="A109" s="200"/>
      <c r="B109" s="193"/>
      <c r="C109" s="106" t="s">
        <v>210</v>
      </c>
      <c r="D109" s="12">
        <v>0.18</v>
      </c>
      <c r="E109" s="12">
        <v>0.25</v>
      </c>
      <c r="F109" s="144">
        <f t="shared" si="6"/>
        <v>72</v>
      </c>
      <c r="G109" s="12"/>
      <c r="H109" s="12"/>
      <c r="I109" s="70"/>
      <c r="J109" s="12"/>
      <c r="K109" s="12"/>
      <c r="L109" s="15"/>
    </row>
    <row r="110" spans="1:12" ht="16.5" customHeight="1">
      <c r="A110" s="200"/>
      <c r="B110" s="193"/>
      <c r="C110" s="106" t="s">
        <v>211</v>
      </c>
      <c r="D110" s="12">
        <v>0.5</v>
      </c>
      <c r="E110" s="12">
        <v>0.31</v>
      </c>
      <c r="F110" s="144">
        <f t="shared" si="6"/>
        <v>161.29032258064518</v>
      </c>
      <c r="G110" s="12"/>
      <c r="H110" s="12"/>
      <c r="I110" s="70"/>
      <c r="J110" s="12"/>
      <c r="K110" s="12"/>
      <c r="L110" s="15"/>
    </row>
    <row r="111" spans="1:12">
      <c r="A111" s="200"/>
      <c r="B111" s="193"/>
      <c r="C111" s="106" t="s">
        <v>161</v>
      </c>
      <c r="D111" s="12">
        <v>1</v>
      </c>
      <c r="E111" s="12">
        <v>0.59</v>
      </c>
      <c r="F111" s="144">
        <f t="shared" si="6"/>
        <v>169.49152542372883</v>
      </c>
      <c r="G111" s="12"/>
      <c r="H111" s="12"/>
      <c r="I111" s="70"/>
      <c r="J111" s="12"/>
      <c r="K111" s="12"/>
      <c r="L111" s="15"/>
    </row>
    <row r="112" spans="1:12" ht="15.75">
      <c r="A112" s="200"/>
      <c r="B112" s="193"/>
      <c r="C112" s="66"/>
      <c r="D112" s="12"/>
      <c r="E112" s="12"/>
      <c r="F112" s="144"/>
      <c r="G112" s="12"/>
      <c r="H112" s="12"/>
      <c r="I112" s="70"/>
      <c r="J112" s="12"/>
      <c r="K112" s="12"/>
      <c r="L112" s="15"/>
    </row>
    <row r="113" spans="1:12" ht="15.75">
      <c r="A113" s="200"/>
      <c r="B113" s="181"/>
      <c r="C113" s="116"/>
      <c r="D113" s="12"/>
      <c r="E113" s="12"/>
      <c r="F113" s="144"/>
      <c r="G113" s="12"/>
      <c r="H113" s="12"/>
      <c r="I113" s="70"/>
      <c r="J113" s="12"/>
      <c r="K113" s="12"/>
      <c r="L113" s="15"/>
    </row>
    <row r="114" spans="1:12">
      <c r="A114" s="201"/>
      <c r="B114" s="65"/>
      <c r="C114" s="38" t="s">
        <v>11</v>
      </c>
      <c r="D114" s="39"/>
      <c r="E114" s="39"/>
      <c r="F114" s="40"/>
      <c r="G114" s="39"/>
      <c r="H114" s="39"/>
      <c r="I114" s="41"/>
      <c r="J114" s="39"/>
      <c r="K114" s="39"/>
      <c r="L114" s="42"/>
    </row>
    <row r="115" spans="1:12" s="135" customFormat="1" ht="15.75">
      <c r="A115" s="136"/>
      <c r="B115" s="137"/>
      <c r="C115" s="10"/>
      <c r="D115" s="132"/>
      <c r="E115" s="132"/>
      <c r="F115" s="138"/>
      <c r="G115" s="132"/>
      <c r="H115" s="132"/>
      <c r="I115" s="133"/>
      <c r="J115" s="132"/>
      <c r="K115" s="132"/>
      <c r="L115" s="139"/>
    </row>
    <row r="116" spans="1:12" ht="15.75" customHeight="1">
      <c r="A116" s="180"/>
      <c r="B116" s="64" t="s">
        <v>16</v>
      </c>
      <c r="C116" s="184" t="s">
        <v>199</v>
      </c>
      <c r="D116" s="16"/>
      <c r="E116" s="16"/>
      <c r="F116" s="138"/>
      <c r="G116" s="12">
        <v>2</v>
      </c>
      <c r="H116" s="12"/>
      <c r="I116" s="13"/>
      <c r="J116" s="12"/>
      <c r="K116" s="12"/>
      <c r="L116" s="15"/>
    </row>
    <row r="117" spans="1:12" ht="15.75">
      <c r="A117" s="180"/>
      <c r="B117" s="129"/>
      <c r="C117" s="142" t="s">
        <v>203</v>
      </c>
      <c r="D117" s="16"/>
      <c r="E117" s="16"/>
      <c r="F117" s="138"/>
      <c r="G117" s="12">
        <v>3</v>
      </c>
      <c r="H117" s="12">
        <v>2.61</v>
      </c>
      <c r="I117" s="13">
        <f>G117/H117</f>
        <v>1.149425287356322</v>
      </c>
      <c r="J117" s="12"/>
      <c r="K117" s="12"/>
      <c r="L117" s="15"/>
    </row>
    <row r="118" spans="1:12" ht="19.5" customHeight="1">
      <c r="A118" s="192"/>
      <c r="B118" s="129"/>
      <c r="C118" s="33" t="s">
        <v>13</v>
      </c>
      <c r="D118" s="115">
        <v>3.25</v>
      </c>
      <c r="E118" s="227">
        <v>3.02</v>
      </c>
      <c r="F118" s="138">
        <f>D118/E118*100</f>
        <v>107.61589403973511</v>
      </c>
      <c r="G118" s="12"/>
      <c r="H118" s="12"/>
      <c r="I118" s="13"/>
      <c r="J118" s="12"/>
      <c r="K118" s="12"/>
      <c r="L118" s="15"/>
    </row>
    <row r="119" spans="1:12" ht="19.5" customHeight="1">
      <c r="A119" s="192"/>
      <c r="B119" s="129"/>
      <c r="C119" s="111" t="s">
        <v>209</v>
      </c>
      <c r="D119" s="227">
        <v>6.5</v>
      </c>
      <c r="E119" s="227">
        <v>6.05</v>
      </c>
      <c r="F119" s="138">
        <f>D119/E119*100</f>
        <v>107.43801652892562</v>
      </c>
      <c r="G119" s="12"/>
      <c r="H119" s="12"/>
      <c r="I119" s="13"/>
      <c r="J119" s="12"/>
      <c r="K119" s="12"/>
      <c r="L119" s="15"/>
    </row>
    <row r="120" spans="1:12" ht="19.5" customHeight="1">
      <c r="A120" s="192"/>
      <c r="B120" s="129"/>
      <c r="C120" s="16" t="s">
        <v>213</v>
      </c>
      <c r="D120" s="227">
        <v>7</v>
      </c>
      <c r="E120" s="227">
        <v>6.2</v>
      </c>
      <c r="F120" s="138">
        <f>D120/E120*100</f>
        <v>112.9032258064516</v>
      </c>
      <c r="G120" s="12"/>
      <c r="H120" s="12"/>
      <c r="I120" s="13"/>
      <c r="J120" s="12"/>
      <c r="K120" s="12"/>
      <c r="L120" s="15"/>
    </row>
    <row r="121" spans="1:12" ht="15.75">
      <c r="A121" s="180"/>
      <c r="B121" s="129"/>
      <c r="C121" s="116"/>
      <c r="D121" s="16"/>
      <c r="E121" s="16"/>
      <c r="F121" s="138"/>
      <c r="G121" s="12"/>
      <c r="H121" s="12"/>
      <c r="I121" s="13"/>
      <c r="J121" s="12"/>
      <c r="K121" s="12"/>
      <c r="L121" s="15"/>
    </row>
    <row r="122" spans="1:12">
      <c r="A122" s="47"/>
      <c r="B122" s="48"/>
      <c r="C122" s="38" t="s">
        <v>11</v>
      </c>
      <c r="D122" s="39"/>
      <c r="E122" s="39"/>
      <c r="F122" s="14"/>
      <c r="G122" s="39"/>
      <c r="H122" s="39"/>
      <c r="I122" s="41"/>
      <c r="J122" s="39"/>
      <c r="K122" s="39"/>
      <c r="L122" s="49"/>
    </row>
    <row r="123" spans="1:12" s="135" customFormat="1" ht="30">
      <c r="A123" s="50"/>
      <c r="B123" s="224" t="s">
        <v>27</v>
      </c>
      <c r="C123" s="160" t="s">
        <v>155</v>
      </c>
      <c r="D123" s="132">
        <v>4</v>
      </c>
      <c r="E123" s="132">
        <v>3.25</v>
      </c>
      <c r="F123" s="138">
        <f>D123/E123*100</f>
        <v>123.07692307692308</v>
      </c>
      <c r="G123" s="132"/>
      <c r="H123" s="132"/>
      <c r="I123" s="133"/>
      <c r="J123" s="132"/>
      <c r="K123" s="132"/>
      <c r="L123" s="134"/>
    </row>
    <row r="124" spans="1:12" ht="15.75">
      <c r="A124" s="45"/>
      <c r="B124" s="226"/>
      <c r="C124" s="16"/>
      <c r="D124" s="12"/>
      <c r="E124" s="12"/>
      <c r="F124" s="14"/>
      <c r="G124" s="12"/>
      <c r="H124" s="12"/>
      <c r="I124" s="12"/>
      <c r="J124" s="12"/>
      <c r="K124" s="12"/>
      <c r="L124" s="15"/>
    </row>
    <row r="125" spans="1:12">
      <c r="A125" s="51"/>
      <c r="B125" s="52"/>
      <c r="C125" s="38" t="s">
        <v>11</v>
      </c>
      <c r="D125" s="53"/>
      <c r="E125" s="53"/>
      <c r="F125" s="40"/>
      <c r="G125" s="53"/>
      <c r="H125" s="53"/>
      <c r="I125" s="53"/>
      <c r="J125" s="53"/>
      <c r="K125" s="53"/>
      <c r="L125" s="54"/>
    </row>
  </sheetData>
  <mergeCells count="26">
    <mergeCell ref="N3:N5"/>
    <mergeCell ref="O3:O5"/>
    <mergeCell ref="D4:F4"/>
    <mergeCell ref="G4:I4"/>
    <mergeCell ref="J4:L4"/>
    <mergeCell ref="A3:A5"/>
    <mergeCell ref="B3:B5"/>
    <mergeCell ref="C3:C5"/>
    <mergeCell ref="D3:L3"/>
    <mergeCell ref="B6:B16"/>
    <mergeCell ref="B87:B98"/>
    <mergeCell ref="A101:A114"/>
    <mergeCell ref="B101:B108"/>
    <mergeCell ref="B123:B124"/>
    <mergeCell ref="N18:N32"/>
    <mergeCell ref="B44:B69"/>
    <mergeCell ref="A84:A86"/>
    <mergeCell ref="B84:B86"/>
    <mergeCell ref="C84:C86"/>
    <mergeCell ref="D84:L84"/>
    <mergeCell ref="D85:F85"/>
    <mergeCell ref="G85:I85"/>
    <mergeCell ref="J85:L85"/>
    <mergeCell ref="B71:B78"/>
    <mergeCell ref="A18:A32"/>
    <mergeCell ref="B18:B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hidar</vt:lpstr>
      <vt:lpstr>tahsas</vt:lpstr>
      <vt:lpstr>Tir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MEKONEN</dc:creator>
  <cp:lastModifiedBy>MEKONEN</cp:lastModifiedBy>
  <dcterms:created xsi:type="dcterms:W3CDTF">2025-10-14T05:37:49Z</dcterms:created>
  <dcterms:modified xsi:type="dcterms:W3CDTF">2026-02-11T07:24:22Z</dcterms:modified>
</cp:coreProperties>
</file>