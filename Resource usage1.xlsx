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John\OneDrive\Desktop\Jan Resource Usage\"/>
    </mc:Choice>
  </mc:AlternateContent>
  <xr:revisionPtr revIDLastSave="0" documentId="13_ncr:1_{96048973-D80E-4CEB-A47B-29E569EF51DA}" xr6:coauthVersionLast="47" xr6:coauthVersionMax="47" xr10:uidLastSave="{00000000-0000-0000-0000-000000000000}"/>
  <bookViews>
    <workbookView xWindow="15" yWindow="0" windowWidth="20475" windowHeight="10920" xr2:uid="{CA4D2A37-ABBC-43F1-AB30-86F6C9D5B4DF}"/>
  </bookViews>
  <sheets>
    <sheet name="Labor usage analysis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3" l="1"/>
  <c r="G5" i="3"/>
  <c r="G11" i="3" s="1"/>
  <c r="G4" i="3"/>
  <c r="E5" i="3"/>
  <c r="E6" i="3"/>
  <c r="E4" i="3"/>
  <c r="E58" i="3"/>
  <c r="E57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25" i="3"/>
  <c r="G26" i="3"/>
  <c r="G27" i="3"/>
  <c r="G28" i="3"/>
  <c r="G29" i="3"/>
  <c r="G30" i="3"/>
  <c r="G24" i="3"/>
  <c r="H30" i="3"/>
  <c r="E27" i="3" l="1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4" i="3"/>
  <c r="E45" i="3"/>
  <c r="E25" i="3"/>
  <c r="E26" i="3"/>
  <c r="E24" i="3"/>
  <c r="H63" i="3" l="1"/>
  <c r="H58" i="3"/>
  <c r="E48" i="3"/>
  <c r="E53" i="3"/>
  <c r="E63" i="3"/>
  <c r="E12" i="3"/>
  <c r="E7" i="3"/>
  <c r="E20" i="3" l="1"/>
  <c r="E19" i="3"/>
  <c r="H13" i="3"/>
  <c r="G68" i="3"/>
  <c r="E68" i="3"/>
  <c r="G62" i="3"/>
  <c r="E62" i="3"/>
  <c r="G56" i="3"/>
  <c r="E56" i="3"/>
  <c r="G52" i="3"/>
  <c r="G23" i="3"/>
  <c r="G18" i="3"/>
  <c r="G47" i="3"/>
  <c r="E52" i="3"/>
  <c r="E23" i="3"/>
  <c r="E18" i="3"/>
  <c r="E11" i="3"/>
  <c r="E47" i="3" l="1"/>
  <c r="H68" i="3" l="1"/>
  <c r="H62" i="3"/>
  <c r="H57" i="3"/>
  <c r="H53" i="3"/>
  <c r="H48" i="3" l="1"/>
  <c r="H29" i="3"/>
  <c r="H28" i="3"/>
  <c r="H27" i="3"/>
  <c r="H26" i="3"/>
  <c r="H25" i="3"/>
  <c r="H24" i="3"/>
  <c r="H23" i="3"/>
  <c r="H19" i="3"/>
  <c r="H18" i="3"/>
  <c r="H12" i="3"/>
  <c r="H11" i="3"/>
  <c r="H8" i="3"/>
  <c r="H7" i="3"/>
  <c r="H6" i="3"/>
  <c r="H5" i="3"/>
  <c r="H4" i="3"/>
</calcChain>
</file>

<file path=xl/sharedStrings.xml><?xml version="1.0" encoding="utf-8"?>
<sst xmlns="http://schemas.openxmlformats.org/spreadsheetml/2006/main" count="48" uniqueCount="43">
  <si>
    <t>Item No</t>
  </si>
  <si>
    <t>Mason</t>
  </si>
  <si>
    <t>Carpenter</t>
  </si>
  <si>
    <t>D.labour</t>
  </si>
  <si>
    <t>Average</t>
  </si>
  <si>
    <t>Type of Daily worker</t>
  </si>
  <si>
    <t>Work Description</t>
  </si>
  <si>
    <t xml:space="preserve">Used/ Executed  </t>
  </si>
  <si>
    <t>Required (as per the standard)</t>
  </si>
  <si>
    <t>Effice.            %</t>
  </si>
  <si>
    <t>Gypsum Plasterer</t>
  </si>
  <si>
    <t>Painter</t>
  </si>
  <si>
    <t>Tailer Helper</t>
  </si>
  <si>
    <t>Painting rework</t>
  </si>
  <si>
    <t>gypsum work</t>
  </si>
  <si>
    <t>Welding ladder for tanker</t>
  </si>
  <si>
    <t>Welder</t>
  </si>
  <si>
    <t>Barbender</t>
  </si>
  <si>
    <t xml:space="preserve">Supply and fill with rachitic hard core blinded with crushed aggregate </t>
  </si>
  <si>
    <t>Stone Masonry for water point wall (1:3)</t>
  </si>
  <si>
    <t>25 cm thick hard core filling (equivalent to hard basaltic stone)</t>
  </si>
  <si>
    <t xml:space="preserve">Site clearing upto depth of 20cm to remove the top soil </t>
  </si>
  <si>
    <t>Trench Excavation for HDPE (80*40)</t>
  </si>
  <si>
    <t>Ordinary soil depth up to 80 cm</t>
  </si>
  <si>
    <t>Soft rock depth up to 80 cm</t>
  </si>
  <si>
    <t>Back fill</t>
  </si>
  <si>
    <t>HDPE pipe OD75 PN16, Compresion</t>
  </si>
  <si>
    <t xml:space="preserve">Site clearing at average of  depth of 20cm </t>
  </si>
  <si>
    <t>excavetio for pipe lining at bohoro (gelly cross)</t>
  </si>
  <si>
    <t>excavetion for footng  ancherage</t>
  </si>
  <si>
    <t>scafolding work for pipe support at gelly cross</t>
  </si>
  <si>
    <t>demolution of ankerage on existing presure line and transporting of 4" GI pipe and HDPE</t>
  </si>
  <si>
    <t>tansportation of equleptus pole for scafolding work upto 2km distance</t>
  </si>
  <si>
    <t>stone transportation for for water point at bohoro (for hard core)</t>
  </si>
  <si>
    <t>stone tansportation for masonary at water point</t>
  </si>
  <si>
    <t>gravel transportation for c-20 concret at water point</t>
  </si>
  <si>
    <t>sand mobilazation</t>
  </si>
  <si>
    <t>water ficher</t>
  </si>
  <si>
    <t>constraction of temporary gard house</t>
  </si>
  <si>
    <t>site clearing and deforestation for disterbution line for mitto</t>
  </si>
  <si>
    <t>transportation of HDPE OD 75 pipe from store to disterbution line</t>
  </si>
  <si>
    <t>Buhoro mitto menjello project</t>
  </si>
  <si>
    <t>Project resource usage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</si>
</sst>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7" formatCode="&quot;Yes&quot;;&quot;Yes&quot;;&quot;No&quot;"/>
    <numFmt numFmtId="168" formatCode="_-* #,##0.00_-;\-* #,##0.00_-;_-* &quot;-&quot;??_-;_-@_-"/>
    <numFmt numFmtId="169" formatCode="_(* #,##0.0_);_(* \(#,##0.0\);_(* &quot;-&quot;??_);_(@_)"/>
    <numFmt numFmtId="170" formatCode="_(* #,##0.0000_);_(* \(#,##0.0000\);_(* &quot;-&quot;??_);_(@_)"/>
    <numFmt numFmtId="171" formatCode="_-* #,##0.00\ _€_-;\-* #,##0.00\ _€_-;_-* &quot;-&quot;??\ _€_-;_-@_-"/>
    <numFmt numFmtId="172" formatCode="0.0000"/>
    <numFmt numFmtId="173" formatCode="#,##0.0"/>
    <numFmt numFmtId="174" formatCode="_ * #,##0.00_ ;_ * \-#,##0.00_ ;_ * &quot;-&quot;??_ ;_ @_ "/>
    <numFmt numFmtId="175" formatCode="_([$€]* #,##0.00_);_([$€]* \(#,##0.00\);_([$€]* &quot;-&quot;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Ebrima"/>
    </font>
    <font>
      <sz val="11"/>
      <color theme="1"/>
      <name val="Ebrima"/>
    </font>
    <font>
      <b/>
      <sz val="14"/>
      <color rgb="FF002060"/>
      <name val="Ebrima"/>
    </font>
    <font>
      <b/>
      <sz val="12"/>
      <color theme="1"/>
      <name val="Ebrima"/>
    </font>
    <font>
      <sz val="11"/>
      <name val="Ebrima"/>
    </font>
    <font>
      <sz val="10"/>
      <name val="Times New Roman"/>
      <family val="1"/>
    </font>
    <font>
      <sz val="11"/>
      <color theme="1"/>
      <name val="Calibri"/>
      <family val="2"/>
    </font>
    <font>
      <sz val="12"/>
      <color rgb="FF000000"/>
      <name val="Calibri Light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Courier New"/>
      <family val="3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u/>
      <sz val="7.5"/>
      <color indexed="12"/>
      <name val="Arial"/>
      <family val="2"/>
    </font>
    <font>
      <u/>
      <sz val="10"/>
      <color indexed="36"/>
      <name val="Arial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Stylus BT"/>
      <family val="2"/>
    </font>
    <font>
      <b/>
      <sz val="11"/>
      <color indexed="63"/>
      <name val="Calibri"/>
      <family val="2"/>
    </font>
    <font>
      <sz val="10"/>
      <name val="Helv"/>
      <charset val="204"/>
    </font>
    <font>
      <sz val="10"/>
      <name val="Arial"/>
      <family val="2"/>
      <charset val="22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134"/>
      <scheme val="minor"/>
    </font>
    <font>
      <sz val="12"/>
      <color rgb="FF000000"/>
      <name val="Calibri Light"/>
      <family val="2"/>
      <scheme val="major"/>
    </font>
  </fonts>
  <fills count="2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5">
    <border>
      <left/>
      <right/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slantDashDot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slantDashDot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slantDashDot">
        <color auto="1"/>
      </top>
      <bottom/>
      <diagonal/>
    </border>
    <border>
      <left style="hair">
        <color auto="1"/>
      </left>
      <right style="hair">
        <color auto="1"/>
      </right>
      <top style="slantDashDot">
        <color auto="1"/>
      </top>
      <bottom/>
      <diagonal/>
    </border>
    <border>
      <left style="thin">
        <color auto="1"/>
      </left>
      <right style="thin">
        <color auto="1"/>
      </right>
      <top style="slant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5">
    <xf numFmtId="0" fontId="0" fillId="0" borderId="0"/>
    <xf numFmtId="43" fontId="1" fillId="0" borderId="0" applyFont="0" applyFill="0" applyBorder="0" applyAlignment="0" applyProtection="0"/>
    <xf numFmtId="0" fontId="7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" fillId="0" borderId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20" borderId="0" applyNumberFormat="0" applyBorder="0" applyAlignment="0" applyProtection="0"/>
    <xf numFmtId="0" fontId="14" fillId="4" borderId="0" applyNumberFormat="0" applyBorder="0" applyAlignment="0" applyProtection="0"/>
    <xf numFmtId="0" fontId="15" fillId="21" borderId="25" applyNumberFormat="0" applyAlignment="0" applyProtection="0"/>
    <xf numFmtId="0" fontId="15" fillId="21" borderId="25" applyNumberFormat="0" applyAlignment="0" applyProtection="0"/>
    <xf numFmtId="0" fontId="16" fillId="22" borderId="26" applyNumberFormat="0" applyAlignment="0" applyProtection="0"/>
    <xf numFmtId="0" fontId="16" fillId="22" borderId="26" applyNumberFormat="0" applyAlignment="0" applyProtection="0"/>
    <xf numFmtId="0" fontId="16" fillId="22" borderId="26" applyNumberFormat="0" applyAlignment="0" applyProtection="0"/>
    <xf numFmtId="0" fontId="16" fillId="22" borderId="26" applyNumberFormat="0" applyAlignment="0" applyProtection="0"/>
    <xf numFmtId="41" fontId="1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17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4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20" fillId="0" borderId="27" applyNumberFormat="0" applyFill="0" applyAlignment="0" applyProtection="0"/>
    <xf numFmtId="0" fontId="21" fillId="0" borderId="28" applyNumberFormat="0" applyFill="0" applyAlignment="0" applyProtection="0"/>
    <xf numFmtId="0" fontId="22" fillId="0" borderId="29" applyNumberFormat="0" applyFill="0" applyAlignment="0" applyProtection="0"/>
    <xf numFmtId="0" fontId="22" fillId="0" borderId="0" applyNumberFormat="0" applyFill="0" applyBorder="0" applyAlignment="0" applyProtection="0"/>
    <xf numFmtId="0" fontId="23" fillId="8" borderId="25" applyNumberFormat="0" applyAlignment="0" applyProtection="0"/>
    <xf numFmtId="0" fontId="23" fillId="8" borderId="25" applyNumberFormat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30" applyNumberFormat="0" applyFill="0" applyAlignment="0" applyProtection="0"/>
    <xf numFmtId="43" fontId="10" fillId="0" borderId="0" applyFont="0" applyFill="0" applyBorder="0" applyAlignment="0" applyProtection="0"/>
    <xf numFmtId="0" fontId="27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7" fillId="0" borderId="0"/>
    <xf numFmtId="0" fontId="1" fillId="0" borderId="0"/>
    <xf numFmtId="0" fontId="7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8" fillId="0" borderId="0"/>
    <xf numFmtId="0" fontId="28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24" borderId="31" applyNumberFormat="0" applyFont="0" applyAlignment="0" applyProtection="0"/>
    <xf numFmtId="0" fontId="10" fillId="24" borderId="31" applyNumberFormat="0" applyFont="0" applyAlignment="0" applyProtection="0"/>
    <xf numFmtId="0" fontId="29" fillId="21" borderId="32" applyNumberFormat="0" applyAlignment="0" applyProtection="0"/>
    <xf numFmtId="0" fontId="29" fillId="21" borderId="32" applyNumberFormat="0" applyAlignment="0" applyProtection="0"/>
    <xf numFmtId="9" fontId="1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0" fillId="0" borderId="0"/>
    <xf numFmtId="0" fontId="11" fillId="0" borderId="0"/>
    <xf numFmtId="0" fontId="31" fillId="0" borderId="0"/>
    <xf numFmtId="0" fontId="32" fillId="0" borderId="0" applyNumberFormat="0" applyFill="0" applyBorder="0" applyAlignment="0" applyProtection="0"/>
    <xf numFmtId="0" fontId="33" fillId="0" borderId="33" applyNumberFormat="0" applyFill="0" applyAlignment="0" applyProtection="0"/>
    <xf numFmtId="0" fontId="33" fillId="0" borderId="33" applyNumberFormat="0" applyFill="0" applyAlignment="0" applyProtection="0"/>
    <xf numFmtId="0" fontId="34" fillId="0" borderId="0" applyNumberFormat="0" applyFill="0" applyBorder="0" applyAlignment="0" applyProtection="0"/>
    <xf numFmtId="0" fontId="10" fillId="0" borderId="0"/>
    <xf numFmtId="43" fontId="3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7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2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64">
    <xf numFmtId="0" fontId="0" fillId="0" borderId="0" xfId="0"/>
    <xf numFmtId="0" fontId="3" fillId="0" borderId="3" xfId="0" applyFont="1" applyBorder="1"/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3" fillId="0" borderId="11" xfId="0" applyFont="1" applyBorder="1" applyAlignment="1">
      <alignment horizontal="left" vertical="center" wrapText="1"/>
    </xf>
    <xf numFmtId="43" fontId="3" fillId="0" borderId="11" xfId="1" applyFont="1" applyBorder="1" applyAlignment="1"/>
    <xf numFmtId="43" fontId="3" fillId="0" borderId="12" xfId="1" applyFont="1" applyBorder="1" applyAlignment="1">
      <alignment horizontal="center" wrapText="1"/>
    </xf>
    <xf numFmtId="0" fontId="3" fillId="0" borderId="12" xfId="0" applyFont="1" applyBorder="1" applyAlignment="1">
      <alignment horizontal="left" vertical="center" wrapText="1"/>
    </xf>
    <xf numFmtId="43" fontId="3" fillId="0" borderId="12" xfId="1" applyFont="1" applyBorder="1" applyAlignment="1"/>
    <xf numFmtId="43" fontId="3" fillId="0" borderId="12" xfId="1" applyFont="1" applyBorder="1" applyAlignment="1">
      <alignment horizontal="center"/>
    </xf>
    <xf numFmtId="0" fontId="3" fillId="0" borderId="12" xfId="0" applyFont="1" applyBorder="1" applyAlignment="1">
      <alignment horizontal="left" wrapText="1"/>
    </xf>
    <xf numFmtId="0" fontId="3" fillId="0" borderId="12" xfId="0" applyFont="1" applyBorder="1" applyAlignment="1">
      <alignment vertical="center" wrapText="1"/>
    </xf>
    <xf numFmtId="0" fontId="3" fillId="0" borderId="12" xfId="0" applyFont="1" applyBorder="1" applyAlignment="1">
      <alignment wrapText="1"/>
    </xf>
    <xf numFmtId="43" fontId="3" fillId="0" borderId="12" xfId="1" applyFont="1" applyBorder="1" applyAlignment="1">
      <alignment vertical="center"/>
    </xf>
    <xf numFmtId="0" fontId="3" fillId="0" borderId="17" xfId="0" applyFont="1" applyBorder="1" applyAlignment="1">
      <alignment horizontal="left"/>
    </xf>
    <xf numFmtId="0" fontId="2" fillId="0" borderId="18" xfId="0" applyFont="1" applyBorder="1"/>
    <xf numFmtId="43" fontId="3" fillId="0" borderId="18" xfId="1" applyFont="1" applyBorder="1"/>
    <xf numFmtId="43" fontId="3" fillId="0" borderId="18" xfId="1" applyFont="1" applyBorder="1" applyAlignment="1">
      <alignment horizontal="center"/>
    </xf>
    <xf numFmtId="43" fontId="6" fillId="0" borderId="12" xfId="1" applyFont="1" applyFill="1" applyBorder="1" applyAlignment="1"/>
    <xf numFmtId="0" fontId="3" fillId="0" borderId="19" xfId="0" applyFont="1" applyBorder="1" applyAlignment="1">
      <alignment vertical="center" wrapText="1"/>
    </xf>
    <xf numFmtId="43" fontId="3" fillId="0" borderId="19" xfId="1" applyFont="1" applyBorder="1" applyAlignment="1">
      <alignment vertical="center"/>
    </xf>
    <xf numFmtId="43" fontId="3" fillId="0" borderId="19" xfId="1" applyFont="1" applyBorder="1" applyAlignment="1"/>
    <xf numFmtId="43" fontId="3" fillId="0" borderId="19" xfId="1" applyFont="1" applyBorder="1" applyAlignment="1">
      <alignment horizontal="center" wrapText="1"/>
    </xf>
    <xf numFmtId="43" fontId="3" fillId="0" borderId="22" xfId="1" applyFont="1" applyBorder="1" applyAlignment="1"/>
    <xf numFmtId="43" fontId="3" fillId="2" borderId="12" xfId="1" applyFont="1" applyFill="1" applyBorder="1" applyAlignment="1"/>
    <xf numFmtId="43" fontId="2" fillId="2" borderId="12" xfId="1" applyFont="1" applyFill="1" applyBorder="1" applyAlignment="1"/>
    <xf numFmtId="43" fontId="3" fillId="2" borderId="12" xfId="1" applyFont="1" applyFill="1" applyBorder="1" applyAlignment="1">
      <alignment horizontal="center" wrapText="1"/>
    </xf>
    <xf numFmtId="43" fontId="3" fillId="2" borderId="19" xfId="1" applyFont="1" applyFill="1" applyBorder="1" applyAlignment="1">
      <alignment vertical="center"/>
    </xf>
    <xf numFmtId="43" fontId="2" fillId="2" borderId="19" xfId="1" applyFont="1" applyFill="1" applyBorder="1" applyAlignment="1">
      <alignment vertical="center"/>
    </xf>
    <xf numFmtId="43" fontId="3" fillId="2" borderId="19" xfId="1" applyFont="1" applyFill="1" applyBorder="1" applyAlignment="1"/>
    <xf numFmtId="43" fontId="3" fillId="2" borderId="19" xfId="1" applyFont="1" applyFill="1" applyBorder="1" applyAlignment="1">
      <alignment horizontal="center" wrapText="1"/>
    </xf>
    <xf numFmtId="43" fontId="2" fillId="2" borderId="19" xfId="1" applyFont="1" applyFill="1" applyBorder="1" applyAlignment="1"/>
    <xf numFmtId="43" fontId="3" fillId="0" borderId="23" xfId="1" applyFont="1" applyFill="1" applyBorder="1" applyAlignment="1">
      <alignment vertical="center"/>
    </xf>
    <xf numFmtId="0" fontId="0" fillId="0" borderId="0" xfId="0" applyAlignment="1">
      <alignment wrapText="1"/>
    </xf>
    <xf numFmtId="2" fontId="0" fillId="0" borderId="0" xfId="0" applyNumberFormat="1"/>
    <xf numFmtId="43" fontId="9" fillId="0" borderId="34" xfId="0" applyNumberFormat="1" applyFont="1" applyBorder="1" applyAlignment="1">
      <alignment horizontal="left" vertical="top" wrapText="1"/>
    </xf>
    <xf numFmtId="43" fontId="36" fillId="0" borderId="34" xfId="266" applyNumberFormat="1" applyFont="1" applyBorder="1" applyAlignment="1">
      <alignment horizontal="left" vertical="top" wrapText="1"/>
    </xf>
    <xf numFmtId="43" fontId="3" fillId="0" borderId="34" xfId="1" applyFont="1" applyBorder="1" applyAlignment="1"/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/>
    </xf>
  </cellXfs>
  <cellStyles count="475">
    <cellStyle name="20% - Accent1 2" xfId="10" xr:uid="{2F936683-9772-4155-BA36-5A2AFA6C2127}"/>
    <cellStyle name="20% - Accent2 2" xfId="11" xr:uid="{9D205F49-B84E-4C29-AB56-689A56B5D02D}"/>
    <cellStyle name="20% - Accent3 2" xfId="12" xr:uid="{77761829-7801-452B-9385-1715BAA3980C}"/>
    <cellStyle name="20% - Accent4 2" xfId="13" xr:uid="{D0946155-B256-421D-9AC0-F10A833BBB06}"/>
    <cellStyle name="20% - Accent5 2" xfId="14" xr:uid="{26F7563C-819A-4149-895B-B76DAAE481C1}"/>
    <cellStyle name="20% - Accent6 2" xfId="15" xr:uid="{F89DDFAE-2002-4CA0-BDF7-73A01E756A4E}"/>
    <cellStyle name="40% - Accent1 2" xfId="16" xr:uid="{0B67CB66-2059-4636-9402-7570845C2186}"/>
    <cellStyle name="40% - Accent2 2" xfId="17" xr:uid="{DB3D3924-6781-4BF2-9907-4D67D2FE08AE}"/>
    <cellStyle name="40% - Accent3 2" xfId="18" xr:uid="{ECA83C1E-36C5-4864-AD5B-CD6544A183E8}"/>
    <cellStyle name="40% - Accent4 2" xfId="19" xr:uid="{6A0335B7-DEC2-4EFC-BB21-1DCC52A1F40E}"/>
    <cellStyle name="40% - Accent5 2" xfId="20" xr:uid="{EC9B8372-604A-4800-8814-7F16020D91AF}"/>
    <cellStyle name="40% - Accent6 2" xfId="21" xr:uid="{6B291535-5100-47F1-BA07-DEF4D7B300E9}"/>
    <cellStyle name="60% - Accent1 2" xfId="22" xr:uid="{ED539E64-0AA9-40DA-8B34-767CD7E7AA2D}"/>
    <cellStyle name="60% - Accent2 2" xfId="23" xr:uid="{F5EBF606-354D-4AEA-870C-5C11FDD6C0CA}"/>
    <cellStyle name="60% - Accent3 2" xfId="24" xr:uid="{334EB4D1-97CB-4138-8C5B-B44831EFA9F3}"/>
    <cellStyle name="60% - Accent4 2" xfId="25" xr:uid="{834FA701-B17C-49C5-9382-C5453A757A18}"/>
    <cellStyle name="60% - Accent5 2" xfId="26" xr:uid="{C013A561-AE11-4A7A-8BA3-EA5FF09FD894}"/>
    <cellStyle name="60% - Accent6 2" xfId="27" xr:uid="{028A7727-304B-41E2-9FF0-478E4CF699A7}"/>
    <cellStyle name="Accent1 2" xfId="28" xr:uid="{A1D6EE21-882D-43D0-B6B6-05F3E7D204FA}"/>
    <cellStyle name="Accent2 2" xfId="29" xr:uid="{BE271353-F96F-4872-9FAD-6C36398D6697}"/>
    <cellStyle name="Accent3 2" xfId="30" xr:uid="{DD1868B9-8CC9-4AE5-BBE6-FD5ED99D61CB}"/>
    <cellStyle name="Accent4 2" xfId="31" xr:uid="{BA9794FB-F020-43FA-BA73-6CC2EE055921}"/>
    <cellStyle name="Accent5 2" xfId="32" xr:uid="{DDA9BF5D-7EF7-4D55-9406-B8188D22AD65}"/>
    <cellStyle name="Accent6 2" xfId="33" xr:uid="{DA0DC191-BE73-43FF-A9FE-0376D7639468}"/>
    <cellStyle name="Bad 2" xfId="34" xr:uid="{A89B577A-39EB-4EDB-88A6-E1675A745503}"/>
    <cellStyle name="Calculation 2" xfId="35" xr:uid="{7BFE8C33-ACCB-4583-B413-D09FCB4FF469}"/>
    <cellStyle name="Calculation 2 2" xfId="36" xr:uid="{3CEA6B2C-7DE1-4638-A845-48194168E4E5}"/>
    <cellStyle name="Check Cell 2" xfId="37" xr:uid="{A014A4F5-3384-4C3E-ADAD-0A01C6A87AC9}"/>
    <cellStyle name="Check Cell 2 2" xfId="38" xr:uid="{F8F9B706-3059-4123-A498-2BBE82D697CA}"/>
    <cellStyle name="Check Cell 2 2 2" xfId="39" xr:uid="{97B2A238-F054-456D-A267-156290522799}"/>
    <cellStyle name="Check Cell 2 3" xfId="40" xr:uid="{E4E050D9-D0FD-482C-B0E6-FDA457F657AD}"/>
    <cellStyle name="Comma" xfId="1" builtinId="3"/>
    <cellStyle name="Comma [0] 2" xfId="41" xr:uid="{68433DA0-6D11-4DED-8B4E-093448BDDB81}"/>
    <cellStyle name="Comma [0] 3" xfId="42" xr:uid="{8EB38120-2A46-48C6-8505-0F2EAAA6854F}"/>
    <cellStyle name="Comma [0] 4" xfId="43" xr:uid="{2C454488-3FB7-490C-B815-CB96E7054E06}"/>
    <cellStyle name="Comma 10" xfId="44" xr:uid="{06508FDF-0096-46A8-B911-01BC9CE5F5DC}"/>
    <cellStyle name="Comma 10 10" xfId="473" xr:uid="{9AA77079-559B-46CB-93E6-3A065FDB2556}"/>
    <cellStyle name="Comma 10 2" xfId="45" xr:uid="{D4660962-1210-484E-9AF8-98240B37E2A2}"/>
    <cellStyle name="Comma 10 3" xfId="46" xr:uid="{E2496A66-29F8-4CC9-A567-F054D7EACBC7}"/>
    <cellStyle name="Comma 11" xfId="47" xr:uid="{D9DCA966-E0F9-432B-9D6A-24BB2CA09C00}"/>
    <cellStyle name="Comma 11 2" xfId="48" xr:uid="{F9C6667A-CCC8-4134-A7C8-1A29F8338333}"/>
    <cellStyle name="Comma 11 3" xfId="49" xr:uid="{172FEED4-1183-4304-9F0F-87BD169B79DD}"/>
    <cellStyle name="Comma 11 4" xfId="465" xr:uid="{B2F84D65-B1AA-49D1-97CF-20CE6127C881}"/>
    <cellStyle name="Comma 12" xfId="50" xr:uid="{1F9817E3-251E-48D4-87F6-B7D345C040BE}"/>
    <cellStyle name="Comma 12 2" xfId="51" xr:uid="{FDBEC4D2-9F64-4CE3-90D3-9326E10E2770}"/>
    <cellStyle name="Comma 12 3" xfId="52" xr:uid="{5650522E-BACF-471C-BBCA-F2202A040196}"/>
    <cellStyle name="Comma 13" xfId="53" xr:uid="{93721470-C963-4F01-B9EB-96BC1F366331}"/>
    <cellStyle name="Comma 14" xfId="54" xr:uid="{5C22D5EB-D5E8-46D2-B980-8DC986CB50F6}"/>
    <cellStyle name="Comma 15" xfId="55" xr:uid="{3E250246-5D60-4B80-85F0-989215D04FA7}"/>
    <cellStyle name="Comma 16" xfId="56" xr:uid="{92A27C3A-434D-40E3-9719-893ECDBACAAA}"/>
    <cellStyle name="Comma 17" xfId="57" xr:uid="{40FA847D-3FFD-4446-9F97-8AB8C1B8680E}"/>
    <cellStyle name="Comma 18" xfId="58" xr:uid="{56F1EB21-6462-41A3-8805-046C28795A98}"/>
    <cellStyle name="Comma 19" xfId="59" xr:uid="{94A96F5C-B135-4BCC-B8D5-CB3C404D07EB}"/>
    <cellStyle name="Comma 2" xfId="60" xr:uid="{06FD5184-7DAE-4BF6-AC7B-BD5FFE90984E}"/>
    <cellStyle name="Comma 2 10" xfId="61" xr:uid="{7E00AF7F-8E68-45A8-8DB0-2B4C27186815}"/>
    <cellStyle name="Comma 2 11" xfId="62" xr:uid="{1DA29C89-EAB5-4977-9AD1-03209FB7A7E3}"/>
    <cellStyle name="Comma 2 2" xfId="63" xr:uid="{82F97256-E7A0-4FD3-B6AB-E622DF2AB4EA}"/>
    <cellStyle name="Comma 2 2 10" xfId="474" xr:uid="{7A72F310-DBB4-48F0-9921-E353A2FC8598}"/>
    <cellStyle name="Comma 2 2 2" xfId="64" xr:uid="{948F6881-80BC-444F-9840-00D7E9C7E484}"/>
    <cellStyle name="Comma 2 2 2 2" xfId="65" xr:uid="{24C8160E-5C30-4A57-A226-8B86030F5AED}"/>
    <cellStyle name="Comma 2 2 3" xfId="66" xr:uid="{7B6884A6-1E34-4BCE-83E4-B93EC4729FC6}"/>
    <cellStyle name="Comma 2 2 4" xfId="67" xr:uid="{E4B8DED8-8003-48CB-83CA-A223F7D9644F}"/>
    <cellStyle name="Comma 2 2 5" xfId="68" xr:uid="{C184C3E7-6BA9-4363-B3E3-C660F1859734}"/>
    <cellStyle name="Comma 2 2 6" xfId="69" xr:uid="{41CDDF6D-AB4E-464F-85D5-89662E40393F}"/>
    <cellStyle name="Comma 2 2 6 2" xfId="468" xr:uid="{85B639EF-435A-4AA7-AA95-EF44401EB302}"/>
    <cellStyle name="Comma 2 3" xfId="70" xr:uid="{8A41BA07-3E29-413D-8620-A0D12D006925}"/>
    <cellStyle name="Comma 2 3 2" xfId="71" xr:uid="{18232960-23F3-4990-86B0-413046EFBF98}"/>
    <cellStyle name="Comma 2 3 3" xfId="72" xr:uid="{BFCB33D1-000A-4626-9214-9BFB56ECD7F5}"/>
    <cellStyle name="Comma 2 3 3 2" xfId="73" xr:uid="{70AE5772-2351-4732-8C85-089790E25F91}"/>
    <cellStyle name="Comma 2 4" xfId="3" xr:uid="{896AFAB8-E435-4B8A-AE20-69AC9FE4E572}"/>
    <cellStyle name="Comma 2 4 2" xfId="8" xr:uid="{2DF37596-E46E-4020-80B9-8A7E59BB78E9}"/>
    <cellStyle name="Comma 2 5" xfId="74" xr:uid="{2C093CF9-9B02-4926-AF95-F2DC7B84CE0E}"/>
    <cellStyle name="Comma 2 5 2" xfId="75" xr:uid="{81C6711E-E014-455F-9B7E-8C79D29E14DF}"/>
    <cellStyle name="Comma 2 6" xfId="76" xr:uid="{401E734F-94CC-4968-92B7-D48C41C0B78B}"/>
    <cellStyle name="Comma 2 7" xfId="77" xr:uid="{83DFD363-CCE6-4F36-8E8D-2105ED67CD43}"/>
    <cellStyle name="Comma 2 8" xfId="78" xr:uid="{E02ECF2C-CC8F-437C-87ED-DDAFED5634B6}"/>
    <cellStyle name="Comma 2 9" xfId="79" xr:uid="{FFB71E11-0072-4E1B-9163-64A0AE2660F4}"/>
    <cellStyle name="Comma 2 9 2" xfId="464" xr:uid="{B27CEA37-E4AA-448E-B27B-DED21D1A2B76}"/>
    <cellStyle name="Comma 2_ADIGRAT Engieering estimate" xfId="80" xr:uid="{A82E2BC5-F6D0-4091-91C4-3C32F6F1A46D}"/>
    <cellStyle name="Comma 20" xfId="81" xr:uid="{9772CC87-C6E7-4550-BC88-24D9347AFF9E}"/>
    <cellStyle name="Comma 21" xfId="82" xr:uid="{4D77FE52-CF4D-4229-9C7C-D8A929B156AA}"/>
    <cellStyle name="Comma 22" xfId="83" xr:uid="{C71BF7EC-22E8-4126-9D61-F3394CAC314B}"/>
    <cellStyle name="Comma 23" xfId="84" xr:uid="{05C56A40-F2A5-47A1-B830-F7A23E25E0F4}"/>
    <cellStyle name="Comma 24" xfId="85" xr:uid="{27196395-7CA5-45B2-8DA4-F51B941BD2A7}"/>
    <cellStyle name="Comma 25" xfId="86" xr:uid="{711379AF-1B2A-4DCB-9D58-7CC5C5C6F659}"/>
    <cellStyle name="Comma 26" xfId="87" xr:uid="{C3A88AE8-0177-4997-B821-D5E515FC705A}"/>
    <cellStyle name="Comma 26 2" xfId="88" xr:uid="{4FF4F303-2B49-4CF0-B0A0-64F1E8ED9159}"/>
    <cellStyle name="Comma 27" xfId="89" xr:uid="{AC2DFF12-E29E-4ABE-881D-DD37CC1774E5}"/>
    <cellStyle name="Comma 27 2" xfId="90" xr:uid="{04690FAB-DDB9-4DBE-A763-5C2BDFD799E2}"/>
    <cellStyle name="Comma 28" xfId="91" xr:uid="{32F91261-46EC-4FCE-9124-DA181129BFC1}"/>
    <cellStyle name="Comma 28 2" xfId="92" xr:uid="{0C230E1D-3FC0-4239-840A-3F3F762EDE36}"/>
    <cellStyle name="Comma 29" xfId="93" xr:uid="{D63DC06A-C430-42D2-8C3D-55547E6F01D4}"/>
    <cellStyle name="Comma 29 2" xfId="94" xr:uid="{2FAF8C0C-8271-45FA-BD49-91D93FEDA8DB}"/>
    <cellStyle name="Comma 29 2 2" xfId="95" xr:uid="{BE681A5E-B73E-4571-8C86-982C317C8057}"/>
    <cellStyle name="Comma 29 3" xfId="96" xr:uid="{80285F7D-8372-46C2-899B-BB8A0451C693}"/>
    <cellStyle name="Comma 3" xfId="97" xr:uid="{C489E2F2-DEE8-40C1-9BC8-0BCEDA199E48}"/>
    <cellStyle name="Comma 3 10" xfId="98" xr:uid="{0FA692F6-FB5D-43A9-805D-C4E8676C742F}"/>
    <cellStyle name="Comma 3 11" xfId="99" xr:uid="{F0563032-3BEC-4FB9-9F73-DB604F7E3B65}"/>
    <cellStyle name="Comma 3 12" xfId="100" xr:uid="{165F3BF0-0B65-433D-BA39-7D5120D0DFC2}"/>
    <cellStyle name="Comma 3 13" xfId="101" xr:uid="{EE3FF34C-C9C8-4AE1-A3B5-66ACA03FC86E}"/>
    <cellStyle name="Comma 3 14" xfId="102" xr:uid="{B0761607-D067-4015-B24B-8DF7C680BA85}"/>
    <cellStyle name="Comma 3 15" xfId="103" xr:uid="{256D6BDF-F4E1-422D-8CAB-8188A0FBC76C}"/>
    <cellStyle name="Comma 3 16" xfId="104" xr:uid="{0AB02325-52E6-4927-B695-3146D2B8F3AC}"/>
    <cellStyle name="Comma 3 17" xfId="105" xr:uid="{CDB0AC56-5764-49ED-8320-E1A4566AE5DB}"/>
    <cellStyle name="Comma 3 18" xfId="106" xr:uid="{BA87EE1D-1E83-4355-8606-1684B9AD95CF}"/>
    <cellStyle name="Comma 3 19" xfId="107" xr:uid="{E1EB580C-4393-45AB-B476-2B8982CFD3D5}"/>
    <cellStyle name="Comma 3 2" xfId="108" xr:uid="{4C991B06-6022-48EC-B6BA-4E9A03D47A5D}"/>
    <cellStyle name="Comma 3 2 2" xfId="109" xr:uid="{9E590B09-6ECD-405D-A619-1C6A9CA431FD}"/>
    <cellStyle name="Comma 3 2 2 2" xfId="110" xr:uid="{B14DFF71-12DD-4175-9C49-14433D808FA7}"/>
    <cellStyle name="Comma 3 2 3" xfId="111" xr:uid="{1A8AF593-9AC8-4940-92FD-995B3FEC79AE}"/>
    <cellStyle name="Comma 3 2 4" xfId="112" xr:uid="{008E4B89-9D3C-4C87-B823-D963320FD846}"/>
    <cellStyle name="Comma 3 20" xfId="113" xr:uid="{CEBAD5CF-2779-465D-AC33-CCCF5AD0D998}"/>
    <cellStyle name="Comma 3 21" xfId="114" xr:uid="{78B2C87C-4184-4AE8-BF9C-3669F3625516}"/>
    <cellStyle name="Comma 3 22" xfId="115" xr:uid="{823D519A-B92E-40C7-A68D-5C6B356F1DF9}"/>
    <cellStyle name="Comma 3 23" xfId="116" xr:uid="{5531E194-F0E5-4A10-A8DD-D1D9F08E7A6F}"/>
    <cellStyle name="Comma 3 24" xfId="117" xr:uid="{E7371D0D-9641-449C-B69F-24CD076AA8B0}"/>
    <cellStyle name="Comma 3 25" xfId="118" xr:uid="{2ACDBF5B-B874-4CAE-A007-BE0CD108F93A}"/>
    <cellStyle name="Comma 3 26" xfId="119" xr:uid="{9D370479-516A-45D3-BA9D-F87D8F454203}"/>
    <cellStyle name="Comma 3 27" xfId="120" xr:uid="{5EC5C8F3-E08E-401E-B01D-0859BA800082}"/>
    <cellStyle name="Comma 3 28" xfId="121" xr:uid="{5D8F5089-A1A9-4C55-B210-00FB398AF6AB}"/>
    <cellStyle name="Comma 3 29" xfId="122" xr:uid="{4C879123-26EF-4B5B-AF3F-42C9305464EE}"/>
    <cellStyle name="Comma 3 3" xfId="123" xr:uid="{CE8B5491-4232-4842-9E59-E541D366192E}"/>
    <cellStyle name="Comma 3 30" xfId="124" xr:uid="{353021A5-D6CC-4C1E-A407-45BCE80AF2F2}"/>
    <cellStyle name="Comma 3 31" xfId="125" xr:uid="{205D76E0-6124-43D4-AA61-338B741D10DF}"/>
    <cellStyle name="Comma 3 32" xfId="454" xr:uid="{5B657CF4-5E88-4AC8-B8E0-24D535764CDD}"/>
    <cellStyle name="Comma 3 4" xfId="126" xr:uid="{A5148BA2-CB54-4E15-9B2E-7EC8F20ED0B4}"/>
    <cellStyle name="Comma 3 4 2" xfId="127" xr:uid="{7955A8DD-A85B-44F2-A445-4F5C04D1B7FB}"/>
    <cellStyle name="Comma 3 5" xfId="128" xr:uid="{BD4E26B6-140B-44C2-8D87-B61E432EB444}"/>
    <cellStyle name="Comma 3 6" xfId="129" xr:uid="{B18E40C1-A356-45AC-BCBC-3ED99E8AD30E}"/>
    <cellStyle name="Comma 3 6 2" xfId="130" xr:uid="{EE74B135-C462-4CCA-AE2C-0C51ED4542D9}"/>
    <cellStyle name="Comma 3 7" xfId="131" xr:uid="{4FA948C2-5171-48EF-B4F7-164EF42133C9}"/>
    <cellStyle name="Comma 3 8" xfId="132" xr:uid="{17CDBFB3-3A65-42C0-B3D6-B8B949C722F0}"/>
    <cellStyle name="Comma 3 9" xfId="133" xr:uid="{28659CF8-D47F-4551-A634-D645F78F0061}"/>
    <cellStyle name="Comma 30" xfId="134" xr:uid="{0A1B7C23-FA9C-4F18-89AC-C4F73C87BF77}"/>
    <cellStyle name="Comma 30 2" xfId="135" xr:uid="{E6166625-88FB-49C1-920F-597A68AF37AD}"/>
    <cellStyle name="Comma 31" xfId="136" xr:uid="{709D113A-0F03-4FAD-8A35-EF4D9E9B0B02}"/>
    <cellStyle name="Comma 31 2" xfId="137" xr:uid="{73CC6959-F6C8-48BB-94AA-41D803E610FB}"/>
    <cellStyle name="Comma 32" xfId="138" xr:uid="{1FCA3032-3263-4CD8-960C-EA4AE8F07355}"/>
    <cellStyle name="Comma 33" xfId="139" xr:uid="{9BA39F59-913D-4275-AEB8-BF3218779C9F}"/>
    <cellStyle name="Comma 34" xfId="140" xr:uid="{FD8FA3AF-27AD-407B-8C88-96F554E96530}"/>
    <cellStyle name="Comma 35" xfId="141" xr:uid="{E6F296B2-6AF4-4BA0-A02E-2FC1A2064CC2}"/>
    <cellStyle name="Comma 36" xfId="142" xr:uid="{803FBF3D-8FE8-45BB-BEBF-720A21E34181}"/>
    <cellStyle name="Comma 37" xfId="143" xr:uid="{AE1C6255-B65C-43D1-B28C-32C1C47ACF98}"/>
    <cellStyle name="Comma 38" xfId="144" xr:uid="{ACD6E3F0-6285-4D24-B642-EB48F94067A6}"/>
    <cellStyle name="Comma 39" xfId="9" xr:uid="{935EA596-DC90-494C-8867-C02A38685D33}"/>
    <cellStyle name="Comma 39 2" xfId="145" xr:uid="{AF92C079-2CFA-4F8E-95C1-4D6325F17905}"/>
    <cellStyle name="Comma 39 3" xfId="146" xr:uid="{9039A393-BC5B-4F85-ACE1-D66DBA8CC694}"/>
    <cellStyle name="Comma 4" xfId="147" xr:uid="{D1A11698-2CAA-460A-B349-6C8B9DFAAC4E}"/>
    <cellStyle name="Comma 4 10" xfId="148" xr:uid="{86B845AE-7535-4DF3-AE1E-E25BE4896C19}"/>
    <cellStyle name="Comma 4 11" xfId="149" xr:uid="{540462CC-EC21-439D-9FCA-5051730C7002}"/>
    <cellStyle name="Comma 4 12" xfId="150" xr:uid="{2628ED22-00A4-4A68-ACF2-B59E39B944DC}"/>
    <cellStyle name="Comma 4 13" xfId="151" xr:uid="{388B9B8B-BA17-4217-9826-760B31949FAA}"/>
    <cellStyle name="Comma 4 14" xfId="152" xr:uid="{055B2822-D2AF-472F-8554-786E813A3B25}"/>
    <cellStyle name="Comma 4 15" xfId="153" xr:uid="{030B87FD-0B7D-4BEE-AB6F-5184BC161C16}"/>
    <cellStyle name="Comma 4 16" xfId="154" xr:uid="{8C5C7358-0BEE-4784-8BC1-01FF6FBE99AF}"/>
    <cellStyle name="Comma 4 17" xfId="155" xr:uid="{CD4A22D6-C0EC-4656-8526-2EF927F9B473}"/>
    <cellStyle name="Comma 4 18" xfId="156" xr:uid="{DC47C8AE-5800-4724-8C97-7979E1B2E02F}"/>
    <cellStyle name="Comma 4 19" xfId="157" xr:uid="{EEA5FA5B-E9E7-40A1-B90B-C6858B8D7F79}"/>
    <cellStyle name="Comma 4 2" xfId="158" xr:uid="{53938F0E-D723-429C-91C9-CE1E1658498D}"/>
    <cellStyle name="Comma 4 2 2" xfId="159" xr:uid="{BB7E1761-BB56-4383-A3E1-B2D0373A15F0}"/>
    <cellStyle name="Comma 4 2 3" xfId="160" xr:uid="{394A17E4-A789-4A1C-8F45-6CA401E5369B}"/>
    <cellStyle name="Comma 4 2 4" xfId="161" xr:uid="{A7970BBD-2494-4C37-A4FF-0CBBFDECB956}"/>
    <cellStyle name="Comma 4 3" xfId="162" xr:uid="{955BA0BE-F48B-403D-9C61-9EB6D34DEEE9}"/>
    <cellStyle name="Comma 4 4" xfId="163" xr:uid="{9E4C484B-EEB1-43F5-8389-CCD640625EC2}"/>
    <cellStyle name="Comma 4 5" xfId="164" xr:uid="{F04930CD-D14B-4151-A92E-04B136C86F14}"/>
    <cellStyle name="Comma 4 6" xfId="165" xr:uid="{3A52A304-EEFF-4DCA-8CEE-52372AAA0524}"/>
    <cellStyle name="Comma 4 7" xfId="166" xr:uid="{6F5DE598-4B8F-4CDD-B032-60B6A316B383}"/>
    <cellStyle name="Comma 4 8" xfId="167" xr:uid="{53EE32F5-A647-4208-9859-090BCA69ABE0}"/>
    <cellStyle name="Comma 4 9" xfId="168" xr:uid="{86B2EFB0-2CBE-464F-82D2-0D4880D73FF5}"/>
    <cellStyle name="Comma 40" xfId="169" xr:uid="{AC5E28D7-4A91-44D2-A8A9-D110F911E2AE}"/>
    <cellStyle name="Comma 41" xfId="170" xr:uid="{2EB4527A-3CD5-4B1E-A4B9-4F9A67A9457F}"/>
    <cellStyle name="Comma 41 2" xfId="455" xr:uid="{4692EFB6-8488-4071-A1CC-54E95F3AA5BD}"/>
    <cellStyle name="Comma 42" xfId="171" xr:uid="{74469B15-C3DA-4CAC-B7D9-0EC748C14561}"/>
    <cellStyle name="Comma 43" xfId="172" xr:uid="{3954F044-7BA0-4240-A5DE-0C66587C9627}"/>
    <cellStyle name="Comma 43 2" xfId="452" xr:uid="{F0FB656C-419F-4D76-81D6-A99F23D8CD0C}"/>
    <cellStyle name="Comma 44" xfId="173" xr:uid="{BA96E346-53C4-4B4A-9045-E1437A79B3E6}"/>
    <cellStyle name="Comma 45" xfId="174" xr:uid="{D6BCFDCA-2A88-4B6B-A632-2EED3AD38E07}"/>
    <cellStyle name="Comma 5" xfId="175" xr:uid="{CFB60716-49EE-44DC-AB1F-7413522D5320}"/>
    <cellStyle name="Comma 5 2" xfId="176" xr:uid="{2DBFE002-1C68-4C9A-B461-BDC8FADA6947}"/>
    <cellStyle name="Comma 5 2 2" xfId="177" xr:uid="{77A81C16-4E55-4FF5-B7B5-2B412D669427}"/>
    <cellStyle name="Comma 5 2 3" xfId="178" xr:uid="{841547D2-0CFC-483F-B335-C5D85906D891}"/>
    <cellStyle name="Comma 5 3" xfId="179" xr:uid="{DA5754B8-CF7E-40DE-AA04-3CFA768D4156}"/>
    <cellStyle name="Comma 5 4" xfId="456" xr:uid="{70F936F2-AF62-4703-A2D7-E1DB65764648}"/>
    <cellStyle name="Comma 6" xfId="180" xr:uid="{DBE473C1-8DDC-4D77-868C-76E97A51498E}"/>
    <cellStyle name="Comma 6 2" xfId="181" xr:uid="{D27AC653-9BFA-4F9A-BCC7-BC919E92880B}"/>
    <cellStyle name="Comma 6 2 2" xfId="182" xr:uid="{B0CF5647-7B2C-403A-9A44-5C8C4B7D826D}"/>
    <cellStyle name="Comma 6 2 2 2" xfId="183" xr:uid="{48B4D96F-8BA3-45B8-8926-C9FFC0C25130}"/>
    <cellStyle name="Comma 6 3" xfId="184" xr:uid="{C1FC50B4-C475-48E2-96DF-6C1904492A7D}"/>
    <cellStyle name="Comma 6 3 2" xfId="185" xr:uid="{1B6B1858-DE6E-4EB0-8681-A58B6FC484DA}"/>
    <cellStyle name="Comma 6 3 3" xfId="186" xr:uid="{563104E3-39A1-4F77-95C6-3E21EC35EF5B}"/>
    <cellStyle name="Comma 6 4" xfId="187" xr:uid="{64931393-127F-41FA-8B32-E4C010ABF869}"/>
    <cellStyle name="Comma 6 4 2" xfId="188" xr:uid="{349E1663-C3DF-4BE2-9806-FDD54DAC8E29}"/>
    <cellStyle name="Comma 6 4 2 2" xfId="189" xr:uid="{148E2F20-3624-4F20-BE85-D0E071D52290}"/>
    <cellStyle name="Comma 6 4 2 2 2" xfId="190" xr:uid="{C08C4BBE-7AE2-4D49-A4BC-CEF76ADC2777}"/>
    <cellStyle name="Comma 6 4 2 2 2 2" xfId="191" xr:uid="{AF526AC1-5AA1-4608-9A20-3D9BDA514EA0}"/>
    <cellStyle name="Comma 6 4 2 2 3" xfId="192" xr:uid="{A0C2CCB1-E383-4DCB-9843-3FD64FF297DB}"/>
    <cellStyle name="Comma 6 4 2 2 4" xfId="193" xr:uid="{AA432AA9-F48A-482D-9291-845B46D019C2}"/>
    <cellStyle name="Comma 6 4 2 2 5" xfId="194" xr:uid="{3B0FEC62-14DD-4BA2-AEEB-D4CDFACD3680}"/>
    <cellStyle name="Comma 6 4 3" xfId="195" xr:uid="{BF343A7E-B19A-43D6-B9F7-263B30FB33D4}"/>
    <cellStyle name="Comma 6 5" xfId="196" xr:uid="{0F2FD8BD-C1D8-4614-B829-FFE4BBC8E93E}"/>
    <cellStyle name="Comma 6 5 2" xfId="197" xr:uid="{E3889527-14A7-48A1-BE04-3FDBF7BF61E0}"/>
    <cellStyle name="Comma 6 6" xfId="198" xr:uid="{55294915-FF0E-4B30-85F6-66A2FC8804FB}"/>
    <cellStyle name="Comma 7" xfId="199" xr:uid="{FB733046-6C58-4737-BDB8-F3108C9AD692}"/>
    <cellStyle name="Comma 7 2" xfId="200" xr:uid="{B281D18E-5F3E-4001-8721-AA2047B8F531}"/>
    <cellStyle name="Comma 7 2 2" xfId="201" xr:uid="{F1C093B6-1188-4529-940E-16D8CFEE7186}"/>
    <cellStyle name="Comma 7 3" xfId="202" xr:uid="{21C22C95-7D45-404E-ADF3-16488DB0F4A7}"/>
    <cellStyle name="Comma 7 4" xfId="203" xr:uid="{3B1716FA-C007-427B-B749-ABF1543BD133}"/>
    <cellStyle name="Comma 8" xfId="204" xr:uid="{2FAD3D97-6FFB-4CA3-A33A-44575659EAD0}"/>
    <cellStyle name="Comma 8 2" xfId="205" xr:uid="{824254E3-2BC4-477E-B382-9807D64DD7C2}"/>
    <cellStyle name="Comma 8 3 2" xfId="206" xr:uid="{2814A1EE-7DF9-4773-90FA-D0F7667F1A3E}"/>
    <cellStyle name="Comma 9" xfId="207" xr:uid="{5A5DE566-C4A3-4943-B201-35F88DA4E00C}"/>
    <cellStyle name="Comma 9 2" xfId="208" xr:uid="{AC40F810-0FCD-4A12-AB05-A42D2E69B3AC}"/>
    <cellStyle name="Currency 2" xfId="209" xr:uid="{5AA78BD4-1AF0-4E11-A612-516F9CC0B37A}"/>
    <cellStyle name="Currency 3" xfId="457" xr:uid="{C7D18C56-8EE0-4BA3-86D9-D885A214A68C}"/>
    <cellStyle name="Euro" xfId="210" xr:uid="{E68B7FE9-5278-40F6-9574-39150FD2449E}"/>
    <cellStyle name="Explanatory Text 2" xfId="211" xr:uid="{3F3971B7-A2CE-4F21-849C-5D210A6ACF57}"/>
    <cellStyle name="Good 2" xfId="212" xr:uid="{C1AF21B1-D773-4D0A-834D-D5473F308F1A}"/>
    <cellStyle name="Heading 1 2" xfId="213" xr:uid="{E532B919-CAC2-401B-97B8-763EF88E0C62}"/>
    <cellStyle name="Heading 2 2" xfId="214" xr:uid="{97ACCB04-8FD1-47AC-9678-D3E7405ECA36}"/>
    <cellStyle name="Heading 3 2" xfId="215" xr:uid="{B988F857-81E1-4746-89CD-45E025DE503A}"/>
    <cellStyle name="Heading 4 2" xfId="216" xr:uid="{92A5DA4F-682A-4C7F-9CAD-35B2783B8151}"/>
    <cellStyle name="Input 2" xfId="217" xr:uid="{6FBA9633-57D5-468A-AFE1-9D3F8D290B8C}"/>
    <cellStyle name="Input 2 2" xfId="218" xr:uid="{552EB00C-7325-4627-8C9D-01EFF638B0E9}"/>
    <cellStyle name="Lien hypertexte" xfId="219" xr:uid="{AA954581-89E2-486C-87FC-0483E07BC30A}"/>
    <cellStyle name="Lien hypertexte visité" xfId="220" xr:uid="{14CCA06C-7DC0-45BD-B6D5-B2F04B786921}"/>
    <cellStyle name="Linked Cell 2" xfId="221" xr:uid="{31744BEA-AE12-41A1-83E8-CD3EEF4B1D4E}"/>
    <cellStyle name="Milliers_Classeur2" xfId="222" xr:uid="{4FC3BA8B-01F6-48B6-8508-65392C61D86D}"/>
    <cellStyle name="Neutral 2" xfId="223" xr:uid="{3B1F5EC7-D7E2-4581-B586-ED811861D9B0}"/>
    <cellStyle name="Normal" xfId="0" builtinId="0"/>
    <cellStyle name="Normal 10" xfId="224" xr:uid="{7666EF04-181A-49C6-81DE-331DC514023C}"/>
    <cellStyle name="Normal 10 2" xfId="225" xr:uid="{18D8D57C-FD88-4986-8E6C-78D59A137687}"/>
    <cellStyle name="Normal 10 2 16" xfId="471" xr:uid="{93875E16-E9AF-48A8-A48D-B07C7E18AC32}"/>
    <cellStyle name="Normal 10 2 2" xfId="226" xr:uid="{2919FAE4-D918-4B10-BE10-93C35F02D3DA}"/>
    <cellStyle name="Normal 10 2 2 2" xfId="227" xr:uid="{198F5B62-23A4-4CE6-973A-C87F009A2991}"/>
    <cellStyle name="Normal 10 2 2 3" xfId="228" xr:uid="{9F993EC6-D29D-4BA1-A4F5-345035D3062B}"/>
    <cellStyle name="Normal 10 2 3" xfId="229" xr:uid="{631E1053-3361-4812-87E8-9E5746F8B52C}"/>
    <cellStyle name="Normal 10 2 3 2" xfId="230" xr:uid="{6A19F07E-A629-4A53-98BD-B20193153AD4}"/>
    <cellStyle name="Normal 10 2 4" xfId="231" xr:uid="{BC61891F-09B0-4B1C-865C-9507AE8BE898}"/>
    <cellStyle name="Normal 10 3" xfId="6" xr:uid="{EA57D700-CCBA-4617-8CE2-850435B34F0B}"/>
    <cellStyle name="Normal 10 3 2" xfId="232" xr:uid="{E439CFEF-2048-412E-8713-DF3050E5D61E}"/>
    <cellStyle name="Normal 10 4" xfId="458" xr:uid="{BD72F7D2-6447-444B-A381-3542CA801B2C}"/>
    <cellStyle name="Normal 100" xfId="233" xr:uid="{A2891D81-CB5B-4FB9-B2F2-2A05F7021B05}"/>
    <cellStyle name="Normal 101" xfId="234" xr:uid="{CC002377-68B1-4933-9D79-9B8831F381CF}"/>
    <cellStyle name="Normal 102" xfId="235" xr:uid="{FF08446D-05FA-41D4-A8FB-AE7CC1419C5A}"/>
    <cellStyle name="Normal 103" xfId="236" xr:uid="{72940C81-EDB7-4EDA-A9FB-8E7840816FA6}"/>
    <cellStyle name="Normal 104" xfId="237" xr:uid="{79AD3085-9387-4FCA-990E-6C3094272592}"/>
    <cellStyle name="Normal 105" xfId="238" xr:uid="{8C9BE17D-7868-4746-8B2A-423A3FFE4257}"/>
    <cellStyle name="Normal 106" xfId="239" xr:uid="{9F91A6BB-E9D2-43C6-A4F7-3C080C5FE6DC}"/>
    <cellStyle name="Normal 107" xfId="240" xr:uid="{95F6E6C0-C679-4A57-9F4A-95822787632F}"/>
    <cellStyle name="Normal 108" xfId="241" xr:uid="{59D3CF7B-FC61-441E-9117-010ABA9414E6}"/>
    <cellStyle name="Normal 109" xfId="242" xr:uid="{B36A6474-8B0E-4A72-8CFB-429689FCBAAD}"/>
    <cellStyle name="Normal 11" xfId="243" xr:uid="{9F239356-37BB-4DB3-BBFB-C8415DFBD324}"/>
    <cellStyle name="Normal 11 2" xfId="244" xr:uid="{498A6E63-3D42-4901-A579-E1342470721E}"/>
    <cellStyle name="Normal 11 2 2" xfId="245" xr:uid="{0CB6EE7B-FB21-429D-A06D-D00812CCA2D3}"/>
    <cellStyle name="Normal 11 2 3" xfId="246" xr:uid="{58774FE0-7DB9-4D95-A5F4-B5D497BC3DF3}"/>
    <cellStyle name="Normal 11 3" xfId="247" xr:uid="{F6DBDDA5-F7E5-435E-88E7-EC6AD3B2D70F}"/>
    <cellStyle name="Normal 11 3 2" xfId="248" xr:uid="{A35B18AA-042E-4C79-835E-C1886213DECE}"/>
    <cellStyle name="Normal 11 3 3" xfId="249" xr:uid="{271EAA6B-FA0F-4CBA-BE51-298253BFD726}"/>
    <cellStyle name="Normal 11 4" xfId="250" xr:uid="{3514EE9B-9BE4-49E7-9494-654EE241DF77}"/>
    <cellStyle name="Normal 11 4 2" xfId="251" xr:uid="{10A8FAB1-5260-46F3-8006-54A790481B00}"/>
    <cellStyle name="Normal 11 5" xfId="252" xr:uid="{66DEFA56-C836-428D-900C-F16115A04B06}"/>
    <cellStyle name="Normal 11 6" xfId="451" xr:uid="{22E4AE1B-38B5-412F-925A-F46D601CE882}"/>
    <cellStyle name="Normal 110" xfId="253" xr:uid="{28AD7274-AAA0-41AD-A56F-7D4624F3633E}"/>
    <cellStyle name="Normal 111" xfId="254" xr:uid="{30C84E3F-BA30-4D34-8AEB-67B0DC260E4D}"/>
    <cellStyle name="Normal 112" xfId="255" xr:uid="{1C5DE70D-F809-474E-A256-621D3169B266}"/>
    <cellStyle name="Normal 113" xfId="256" xr:uid="{A7B5F146-2AE4-4E31-AE4E-482A60997073}"/>
    <cellStyle name="Normal 114" xfId="459" xr:uid="{FD867288-EA86-409C-8781-1423CDA238D4}"/>
    <cellStyle name="Normal 115" xfId="257" xr:uid="{4FAC34D1-7E14-45DD-A713-0A61D7F40E6D}"/>
    <cellStyle name="Normal 116" xfId="258" xr:uid="{EC81DEAC-E23E-438C-9F2D-60FBC069ECE4}"/>
    <cellStyle name="Normal 117" xfId="259" xr:uid="{CC047153-A047-41EA-9074-4153B54CDC92}"/>
    <cellStyle name="Normal 118" xfId="260" xr:uid="{C261EEC1-2EC0-4781-9475-C31F3699D7AE}"/>
    <cellStyle name="Normal 12" xfId="261" xr:uid="{66D7A812-BB58-41C2-B4A3-41BA57A60C09}"/>
    <cellStyle name="Normal 12 2" xfId="262" xr:uid="{D9D56578-2C38-467E-BDD8-EDF77B69CD5E}"/>
    <cellStyle name="Normal 12 2 2" xfId="263" xr:uid="{9186B937-86ED-40D2-AF3D-4204D12DE79F}"/>
    <cellStyle name="Normal 13" xfId="264" xr:uid="{63576015-99D6-4F70-8E3B-AC8CC8993C56}"/>
    <cellStyle name="Normal 13 2" xfId="265" xr:uid="{2CB33E95-AA03-401F-9080-8AF731D3E718}"/>
    <cellStyle name="Normal 13 2 2" xfId="470" xr:uid="{CFE7D665-4EFE-4437-8854-65D25E69C51B}"/>
    <cellStyle name="Normal 13 3" xfId="266" xr:uid="{1462324C-5B8B-49A8-B860-309F78E7B5A6}"/>
    <cellStyle name="Normal 13 4" xfId="267" xr:uid="{AE521863-4C73-44B9-BEEE-77388F1EC562}"/>
    <cellStyle name="Normal 14" xfId="268" xr:uid="{A818679D-4A48-4654-8BFC-00F7B6598938}"/>
    <cellStyle name="Normal 14 2" xfId="269" xr:uid="{C270FDF8-8350-47F2-BBD9-EB4BD42A8D80}"/>
    <cellStyle name="Normal 14 3" xfId="270" xr:uid="{D9BAF1F0-1A0D-49E7-BFEC-272872B6D4DD}"/>
    <cellStyle name="Normal 140 4 2" xfId="469" xr:uid="{D8CCE048-2B23-4AA6-9CC3-FFE4F4822FF2}"/>
    <cellStyle name="Normal 141 2" xfId="467" xr:uid="{26605FCC-D5CF-4343-8070-001E6CD3463A}"/>
    <cellStyle name="Normal 15" xfId="2" xr:uid="{B2788D37-6157-4D41-A44E-D101D8513926}"/>
    <cellStyle name="Normal 15 2" xfId="272" xr:uid="{18EBE871-814A-4F01-AB1A-BA0EE3A090FC}"/>
    <cellStyle name="Normal 15 2 2" xfId="273" xr:uid="{B0DAF716-803E-4F04-9CF9-645B591EF8F3}"/>
    <cellStyle name="Normal 15 3" xfId="274" xr:uid="{3A628F34-0E9B-48B0-99F0-6746DF284F7D}"/>
    <cellStyle name="Normal 15 4" xfId="271" xr:uid="{C375DE87-182E-43BA-B0FF-FAAFBDC9C562}"/>
    <cellStyle name="Normal 16" xfId="275" xr:uid="{75855B17-ABB5-4ABE-8E4F-F93B7F7E2A90}"/>
    <cellStyle name="Normal 16 2" xfId="276" xr:uid="{AA0D685E-23D0-4FB6-811F-5D88E903DDB6}"/>
    <cellStyle name="Normal 16 3" xfId="277" xr:uid="{025A4570-B04D-4659-8488-DAF05B015FF9}"/>
    <cellStyle name="Normal 166" xfId="278" xr:uid="{71A8038F-DB19-40CC-BE35-6DEA7D0B100D}"/>
    <cellStyle name="Normal 17" xfId="279" xr:uid="{A19138DD-DD3D-4828-963F-83110819D257}"/>
    <cellStyle name="Normal 17 2" xfId="280" xr:uid="{D14768DA-AEA2-4749-A930-5640B96A11DD}"/>
    <cellStyle name="Normal 18" xfId="281" xr:uid="{1534CA80-E77A-4AF5-90FE-9B6EFACF9368}"/>
    <cellStyle name="Normal 18 2" xfId="282" xr:uid="{90A240B6-F21D-4ECD-A81B-841D8F981D07}"/>
    <cellStyle name="Normal 19" xfId="283" xr:uid="{C464C09D-5284-4819-8005-5CD793220A96}"/>
    <cellStyle name="Normal 19 2" xfId="284" xr:uid="{1A3FBAD4-6344-4437-B5C2-6135C7CB995B}"/>
    <cellStyle name="Normal 19 3" xfId="285" xr:uid="{59B8800F-D8B9-4342-A9BA-12732FD5A81D}"/>
    <cellStyle name="Normal 2" xfId="4" xr:uid="{5F5C91F6-D63F-4DA8-ACC6-258ED56D9DEF}"/>
    <cellStyle name="Normal 2 10" xfId="286" xr:uid="{57A59C78-EA8B-4611-AE15-2AD1D37A8085}"/>
    <cellStyle name="Normal 2 10 2" xfId="287" xr:uid="{E4703D96-B7BA-42A8-959D-D6C40C7CEBE0}"/>
    <cellStyle name="Normal 2 11" xfId="288" xr:uid="{2A4F8C17-830E-490C-8A6F-9C0CA01FF584}"/>
    <cellStyle name="Normal 2 2" xfId="5" xr:uid="{0CDCA56E-4ECD-4B5C-8DEF-58D40B8432F2}"/>
    <cellStyle name="Normal 2 2 2" xfId="289" xr:uid="{B9D228CF-EDAD-4EB7-8848-E1EA955EEB4C}"/>
    <cellStyle name="Normal 2 2 2 2" xfId="290" xr:uid="{FED4A05D-D586-4563-910E-1C79869DAAC4}"/>
    <cellStyle name="Normal 2 2 2 2 2" xfId="291" xr:uid="{7635B54B-676A-4C6E-B625-93FA2AB8C520}"/>
    <cellStyle name="Normal 2 2 2 3" xfId="292" xr:uid="{E3E5B37C-EB13-45C3-8A11-223F3C23CAB5}"/>
    <cellStyle name="Normal 2 2 2 4" xfId="293" xr:uid="{CCCC4E38-CF77-4380-989E-826AF95E311D}"/>
    <cellStyle name="Normal 2 2 3" xfId="294" xr:uid="{A62E4EB4-B3B1-4D0C-B850-8BDBC3ECBD1F}"/>
    <cellStyle name="Normal 2 2 4" xfId="295" xr:uid="{471AD1F7-4EFB-49BA-9C24-3104DC46F7F5}"/>
    <cellStyle name="Normal 2 2 5" xfId="296" xr:uid="{BA37AED4-D174-499C-BFBB-597AD880CE9F}"/>
    <cellStyle name="Normal 2 3" xfId="297" xr:uid="{5E91FF04-CD07-43B1-A464-9EE214E788A7}"/>
    <cellStyle name="Normal 2 3 2" xfId="298" xr:uid="{1C1DAF4C-743D-4822-9C95-A2485A9A5135}"/>
    <cellStyle name="Normal 2 3 2 2" xfId="299" xr:uid="{76A38688-798F-4E8D-B106-F8B57A232036}"/>
    <cellStyle name="Normal 2 3 2 3" xfId="300" xr:uid="{4FCF3B34-EFFD-4DE2-A2C8-F67568F1536F}"/>
    <cellStyle name="Normal 2 4" xfId="301" xr:uid="{43C2812B-2983-4F22-86B4-53984982F717}"/>
    <cellStyle name="Normal 2 4 2" xfId="302" xr:uid="{52E43C33-F204-4FD0-A790-0BAA249AE5ED}"/>
    <cellStyle name="Normal 2 4 3" xfId="303" xr:uid="{986D0014-FB8B-424F-A771-89004FF10C30}"/>
    <cellStyle name="Normal 2 5" xfId="304" xr:uid="{FE074E9A-7891-473F-A323-DE4AA3887DAE}"/>
    <cellStyle name="Normal 2 5 2" xfId="305" xr:uid="{17F8E782-8FF5-4260-9080-634446B277C1}"/>
    <cellStyle name="Normal 2 6" xfId="306" xr:uid="{0F926275-5095-4D7A-80CD-567EA99F7D56}"/>
    <cellStyle name="Normal 2 7" xfId="307" xr:uid="{3CB08293-1BD3-4C4A-B52E-F7FCA32E0143}"/>
    <cellStyle name="Normal 2 7 2" xfId="308" xr:uid="{984BB833-8554-45AD-AAB1-49E09E40C450}"/>
    <cellStyle name="Normal 2 7 2 2" xfId="460" xr:uid="{3BDCBCB8-889D-4B3D-BC6C-356668A74700}"/>
    <cellStyle name="Normal 2 7 2 2 2" xfId="453" xr:uid="{51691D31-5528-493D-889F-0994FAC30415}"/>
    <cellStyle name="Normal 2 7 3" xfId="309" xr:uid="{FFFB0B36-EE44-494F-9D2C-3F1122459708}"/>
    <cellStyle name="Normal 2 8" xfId="310" xr:uid="{912A04A5-2602-4942-825E-C6C7CFE2BABF}"/>
    <cellStyle name="Normal 2 9" xfId="311" xr:uid="{9DA5DC4B-CE99-484B-8D65-2382C5608D76}"/>
    <cellStyle name="Normal 2_ADIGRAT Engieering estimate" xfId="312" xr:uid="{BC164BFB-5295-4414-B017-0A0387C9166C}"/>
    <cellStyle name="Normal 20" xfId="313" xr:uid="{D12E450F-5283-4E95-BE95-26281FAAABC5}"/>
    <cellStyle name="Normal 20 2" xfId="314" xr:uid="{88E5B10B-A851-4FFB-BBD6-BD50902CCBA0}"/>
    <cellStyle name="Normal 21" xfId="315" xr:uid="{EBE03713-F865-4B0F-A26D-2352F1421917}"/>
    <cellStyle name="Normal 21 2" xfId="316" xr:uid="{1AD9D05F-62C0-4C01-9D11-BC61407DF411}"/>
    <cellStyle name="Normal 22" xfId="317" xr:uid="{7B91854F-1435-4A29-8CA6-0A86B9077E90}"/>
    <cellStyle name="Normal 22 2" xfId="318" xr:uid="{13F1B839-1D54-494A-BE8F-62543AA46203}"/>
    <cellStyle name="Normal 22 3" xfId="461" xr:uid="{238F6503-B544-4188-9912-EFCEA7606B34}"/>
    <cellStyle name="Normal 23" xfId="319" xr:uid="{287F6DD1-5485-4020-BA14-674826883D73}"/>
    <cellStyle name="Normal 24" xfId="320" xr:uid="{075E18E6-6515-425D-9BD3-E8552780F69D}"/>
    <cellStyle name="Normal 25" xfId="321" xr:uid="{A552BC20-987C-4281-9B46-BBBC50BF7894}"/>
    <cellStyle name="Normal 26" xfId="322" xr:uid="{1B07D240-FDB8-46F9-9B48-1C03BA22210A}"/>
    <cellStyle name="Normal 27" xfId="323" xr:uid="{F74AD1AF-02A9-4160-92EE-67673470DE1E}"/>
    <cellStyle name="Normal 28" xfId="324" xr:uid="{BBFE17EF-78F8-48D2-BEE5-DFD64EB0F569}"/>
    <cellStyle name="Normal 28 2" xfId="472" xr:uid="{455A218A-2E5D-4F7D-98CF-19D4C501EC02}"/>
    <cellStyle name="Normal 29" xfId="325" xr:uid="{3C2E06AD-C385-4D70-B4CE-3890F55FBC46}"/>
    <cellStyle name="Normal 3" xfId="326" xr:uid="{86316EEF-8AF5-4AA4-909D-52FC0958CD7F}"/>
    <cellStyle name="Normal 3 2" xfId="327" xr:uid="{2ECF2B7A-D063-490F-B7CA-B22087FDD80A}"/>
    <cellStyle name="Normal 3 2 2" xfId="328" xr:uid="{3183CEB3-06E9-461C-A220-5B688C57963E}"/>
    <cellStyle name="Normal 3 2 3" xfId="329" xr:uid="{AB5637C1-7ADE-4A35-BC37-620F4F7ECC6F}"/>
    <cellStyle name="Normal 3 2 4" xfId="330" xr:uid="{9A0E0A7F-FD19-4AD4-B4D2-B16E1D0BB24F}"/>
    <cellStyle name="Normal 3 3" xfId="331" xr:uid="{3F26CEDD-0C97-4BB7-84FC-293A8DF7FF9C}"/>
    <cellStyle name="Normal 3 3 2" xfId="332" xr:uid="{098AE831-8AC2-4722-B17A-8D01CDFB89D3}"/>
    <cellStyle name="Normal 3 3 3" xfId="333" xr:uid="{BB8249E5-9B97-4F8F-A8B7-3029510F5C1E}"/>
    <cellStyle name="Normal 3 4" xfId="334" xr:uid="{144C4DD4-C282-4681-BF83-68951E591DA2}"/>
    <cellStyle name="Normal 3 5" xfId="335" xr:uid="{7C5C9F51-E369-42B3-ACC5-BA1A8C489CAA}"/>
    <cellStyle name="Normal 30" xfId="336" xr:uid="{342D7BB0-21AB-4109-A5F3-1A8ABC1434C5}"/>
    <cellStyle name="Normal 31" xfId="337" xr:uid="{38FBFBF9-33EB-42E1-BA8D-5403FD76FF9F}"/>
    <cellStyle name="Normal 32" xfId="338" xr:uid="{0E50D0B1-23FD-4F89-8B27-17C627F373FD}"/>
    <cellStyle name="Normal 33" xfId="339" xr:uid="{CE2F1EE5-AA93-4E79-B594-3EE78BE1B2A8}"/>
    <cellStyle name="Normal 34" xfId="340" xr:uid="{E0CD8D58-C396-4D62-A133-8F4B82F48585}"/>
    <cellStyle name="Normal 35" xfId="341" xr:uid="{3A960E98-2269-486D-A449-F2B93C3FE32B}"/>
    <cellStyle name="Normal 36" xfId="342" xr:uid="{E2D5D0C6-595B-48F5-8639-AFD72F0BF904}"/>
    <cellStyle name="Normal 37" xfId="343" xr:uid="{60F5D7E7-96FB-4F2B-A2CD-955A338B02BB}"/>
    <cellStyle name="Normal 38" xfId="344" xr:uid="{024FA7CC-A1F5-4024-8161-3EB711A823A2}"/>
    <cellStyle name="Normal 39" xfId="345" xr:uid="{0B211FBE-F091-42CF-932D-E778752849FC}"/>
    <cellStyle name="Normal 39 2" xfId="7" xr:uid="{CF319A02-13BB-4881-9DAC-C052FAF699BF}"/>
    <cellStyle name="Normal 39 3" xfId="346" xr:uid="{23ACB811-C70E-4EA6-9C79-DFBA92544DD1}"/>
    <cellStyle name="Normal 4" xfId="347" xr:uid="{BC371CAB-2949-41D0-9022-D550E355F244}"/>
    <cellStyle name="Normal 4 2" xfId="348" xr:uid="{A5F8E8EE-59F6-48E6-82B7-545F52F39918}"/>
    <cellStyle name="Normal 4 2 2" xfId="349" xr:uid="{AF40B490-8375-457F-8BD1-030B41BCD219}"/>
    <cellStyle name="Normal 4 3" xfId="350" xr:uid="{CC8BB13D-4F25-42F8-A7A3-1F8A4D8DD042}"/>
    <cellStyle name="Normal 4 4" xfId="466" xr:uid="{DA0A515C-F539-4944-86F1-3F48ADD85158}"/>
    <cellStyle name="Normal 40" xfId="351" xr:uid="{7D4579DC-545C-425E-9C92-E459F4BA8B36}"/>
    <cellStyle name="Normal 40 2" xfId="462" xr:uid="{7A63B9E0-198D-414C-ADED-41CD8BC33403}"/>
    <cellStyle name="Normal 41" xfId="352" xr:uid="{8D4E12DB-F3A6-48FB-A744-0AAA7ADE0A65}"/>
    <cellStyle name="Normal 42" xfId="353" xr:uid="{7F432124-9945-4F58-A431-8EAC418A1ED4}"/>
    <cellStyle name="Normal 43" xfId="354" xr:uid="{10ED10D5-8B88-41DC-B603-D4A7C1C8226B}"/>
    <cellStyle name="Normal 44" xfId="355" xr:uid="{59983E85-AC6C-47FA-923B-36E2D21DB186}"/>
    <cellStyle name="Normal 45" xfId="356" xr:uid="{B74C2927-9AFD-4E1C-B1A2-42649E51EAFA}"/>
    <cellStyle name="Normal 46" xfId="357" xr:uid="{FF3F1856-60CD-432C-8BC5-761C11B5B5D8}"/>
    <cellStyle name="Normal 47" xfId="358" xr:uid="{448C7B63-6988-4DE6-B0F6-0C01BB9B57CC}"/>
    <cellStyle name="Normal 48" xfId="359" xr:uid="{8B8EB493-5EE8-454A-A5B1-89EF5A4D4774}"/>
    <cellStyle name="Normal 49" xfId="360" xr:uid="{010B81CA-10A0-4E82-8FC0-EFF36ADD54F5}"/>
    <cellStyle name="Normal 5" xfId="361" xr:uid="{91DA4E6D-F9ED-41B3-B9C0-ECBC780899C6}"/>
    <cellStyle name="Normal 5 2" xfId="362" xr:uid="{53E0FEDF-128A-4544-BF11-4F562A7FAEFC}"/>
    <cellStyle name="Normal 50" xfId="363" xr:uid="{FE5E54C8-784D-4B7E-932A-D7583F3FEE06}"/>
    <cellStyle name="Normal 51" xfId="364" xr:uid="{456F57D6-009B-409F-84C2-378D217C6A64}"/>
    <cellStyle name="Normal 52" xfId="365" xr:uid="{7BC3363E-3184-40E4-AD1C-2128BC07C6C3}"/>
    <cellStyle name="Normal 53" xfId="366" xr:uid="{B86C300A-9FED-4153-B936-2121AFA802BC}"/>
    <cellStyle name="Normal 54" xfId="367" xr:uid="{C5965048-064A-400C-8D34-129A51BCAD72}"/>
    <cellStyle name="Normal 55" xfId="368" xr:uid="{D39D40AB-DADC-4553-9B15-D8678C30A01C}"/>
    <cellStyle name="Normal 56" xfId="369" xr:uid="{88354741-BAD6-47BA-B691-AB5362B17B69}"/>
    <cellStyle name="Normal 57" xfId="370" xr:uid="{28DAE11C-E990-4942-B10A-8863F1027305}"/>
    <cellStyle name="Normal 58" xfId="371" xr:uid="{8D8B40CD-5563-4BE8-8F1F-06CD5E12AD85}"/>
    <cellStyle name="Normal 59" xfId="372" xr:uid="{289FDCF4-1563-4B60-ABAF-A591D8E96626}"/>
    <cellStyle name="Normal 6" xfId="373" xr:uid="{BADBD6C7-B60A-4F60-B366-40B53B39FFBA}"/>
    <cellStyle name="Normal 6 2" xfId="374" xr:uid="{3DC80286-0C43-42E3-B31F-BD10A5EDF5DD}"/>
    <cellStyle name="Normal 6 2 2" xfId="375" xr:uid="{1FCD3689-C161-4287-AFA4-64EA31FACEAE}"/>
    <cellStyle name="Normal 6 3" xfId="376" xr:uid="{7E0FEFC6-C76C-4F81-83CA-BE264D0787BD}"/>
    <cellStyle name="Normal 60" xfId="377" xr:uid="{60664E07-B316-4992-9A45-3EF86F0DFC9B}"/>
    <cellStyle name="Normal 61" xfId="378" xr:uid="{78DBB920-1022-41C7-9F0A-B9FD10224250}"/>
    <cellStyle name="Normal 62" xfId="379" xr:uid="{E7B15E0C-0EAC-479D-8889-AE7546547A81}"/>
    <cellStyle name="Normal 63" xfId="380" xr:uid="{781179BE-8B45-463B-B50D-8FA75748E3D0}"/>
    <cellStyle name="Normal 64" xfId="381" xr:uid="{22371D60-D88B-4C2E-96E7-6BBF78A30BE3}"/>
    <cellStyle name="Normal 65" xfId="382" xr:uid="{FBE30CB6-B614-441B-BC79-248E0C33E992}"/>
    <cellStyle name="Normal 66" xfId="383" xr:uid="{2782B641-779D-4489-B449-FC2878E9C597}"/>
    <cellStyle name="Normal 67" xfId="384" xr:uid="{604A9D35-82C7-4BCD-8CD9-49C5C6592B9A}"/>
    <cellStyle name="Normal 68" xfId="385" xr:uid="{EB0640BE-FB10-4676-A33B-0039BE8758F4}"/>
    <cellStyle name="Normal 69" xfId="386" xr:uid="{32927F15-05F0-4DC2-86CD-00C213A75A0E}"/>
    <cellStyle name="Normal 7" xfId="387" xr:uid="{02239B41-DCBD-41D4-A3EB-213D629EF7E2}"/>
    <cellStyle name="Normal 7 2" xfId="388" xr:uid="{D3053BF3-8E5B-4027-82DB-9A43631B679F}"/>
    <cellStyle name="Normal 7 2 2" xfId="389" xr:uid="{F48CA16A-45D1-4613-A980-FAAE0CF9E6DA}"/>
    <cellStyle name="Normal 70" xfId="390" xr:uid="{FA0C9FA0-DEC2-4687-AB6A-FA101A584370}"/>
    <cellStyle name="Normal 71" xfId="391" xr:uid="{4880B2E0-E11A-48DF-8944-8831F6C7E78B}"/>
    <cellStyle name="Normal 72" xfId="392" xr:uid="{0B0AB3CC-5B45-4166-8219-D5498092D187}"/>
    <cellStyle name="Normal 73" xfId="393" xr:uid="{69674AC2-19CC-4D8F-B882-90412830EC21}"/>
    <cellStyle name="Normal 74" xfId="394" xr:uid="{12E1CD9F-8C28-4B69-BF37-76678C7346A4}"/>
    <cellStyle name="Normal 75" xfId="395" xr:uid="{71DD0097-525F-4C72-8EE9-83F088CF585B}"/>
    <cellStyle name="Normal 76" xfId="396" xr:uid="{F404AB7B-0EEF-4198-9094-854BD8CDECC5}"/>
    <cellStyle name="Normal 77" xfId="397" xr:uid="{E71A8A36-C3F1-410B-A3C1-D59FF2C0994D}"/>
    <cellStyle name="Normal 78" xfId="398" xr:uid="{20F6C81E-0841-440A-8939-0D8D2068B40A}"/>
    <cellStyle name="Normal 79" xfId="399" xr:uid="{7A4EA4EC-3E7C-4976-A57D-7F294A4C9655}"/>
    <cellStyle name="Normal 79 2" xfId="400" xr:uid="{B1560AC0-4B5E-4614-B65B-50DA4AE00162}"/>
    <cellStyle name="Normal 8" xfId="401" xr:uid="{1B317770-47D6-413C-B58B-AE1A33089C36}"/>
    <cellStyle name="Normal 8 2" xfId="402" xr:uid="{13DEDA09-5FA2-445D-8945-A7F34D9BC42D}"/>
    <cellStyle name="Normal 8 2 2" xfId="403" xr:uid="{855755EA-41A0-4D60-A158-1F259C716076}"/>
    <cellStyle name="Normal 8 2 2 2" xfId="404" xr:uid="{4709FF87-1628-4150-AC6C-A438DCD5A3EA}"/>
    <cellStyle name="Normal 8 2 2 2 2" xfId="405" xr:uid="{FA6C6A69-F1A2-4FC8-A5C0-847A9183B024}"/>
    <cellStyle name="Normal 8 2 2 2 2 2" xfId="406" xr:uid="{220B6498-F1C1-4B35-A9DD-148CF6E88803}"/>
    <cellStyle name="Normal 8 2 2 2 3" xfId="407" xr:uid="{593C7AEE-1027-4301-B73F-4ABE87CA251F}"/>
    <cellStyle name="Normal 8 2 3" xfId="408" xr:uid="{E42027FC-5319-46FE-ADA7-31897587DB1D}"/>
    <cellStyle name="Normal 8 3" xfId="409" xr:uid="{BBFC02F1-EAA3-4457-8921-2AC139439BF7}"/>
    <cellStyle name="Normal 8 3 2" xfId="410" xr:uid="{E99F40EB-40D7-49F1-AF2A-1AC673DC5692}"/>
    <cellStyle name="Normal 8 4" xfId="411" xr:uid="{938986E8-4E1B-47A4-9022-B5716B0AD554}"/>
    <cellStyle name="Normal 80" xfId="412" xr:uid="{207CDACB-CD3D-4214-B75E-15C9680BF6A6}"/>
    <cellStyle name="Normal 81" xfId="413" xr:uid="{2988AD4B-1A0F-4345-A02E-3636CB653961}"/>
    <cellStyle name="Normal 82" xfId="414" xr:uid="{098D35DF-0B11-4BE3-92D8-9668339FD35C}"/>
    <cellStyle name="Normal 83" xfId="415" xr:uid="{D551CA6B-EB30-464B-A9FA-04C062BE722A}"/>
    <cellStyle name="Normal 84" xfId="416" xr:uid="{DDCD342E-3B66-4155-8437-D361F58177E0}"/>
    <cellStyle name="Normal 85" xfId="417" xr:uid="{A239B224-18CD-4A65-ADF9-D2B881612A7C}"/>
    <cellStyle name="Normal 86" xfId="418" xr:uid="{BD8F7E2A-7078-4B34-BEFD-5D67A9B9E221}"/>
    <cellStyle name="Normal 87" xfId="419" xr:uid="{CF34F9C8-6C57-460A-A208-687728099365}"/>
    <cellStyle name="Normal 88" xfId="420" xr:uid="{AC42207F-F45B-4881-AC88-2D459406BFFD}"/>
    <cellStyle name="Normal 88 2" xfId="463" xr:uid="{3E3ADD53-4B74-47AB-A110-9BAD924279C7}"/>
    <cellStyle name="Normal 89" xfId="421" xr:uid="{500C464E-AF72-4671-8C60-34FE656D8D35}"/>
    <cellStyle name="Normal 9" xfId="422" xr:uid="{F9F57633-A569-446A-B15D-046B664605FD}"/>
    <cellStyle name="Normal 9 2" xfId="423" xr:uid="{FAF7C6A7-D296-4C03-9708-52A76392428B}"/>
    <cellStyle name="Normal 90" xfId="424" xr:uid="{79CDADE1-ED70-4AE2-B656-C5FE021BC63C}"/>
    <cellStyle name="Normal 91" xfId="425" xr:uid="{51A9CB6C-D96E-4A59-A11A-C3ED8836965E}"/>
    <cellStyle name="Normal 92" xfId="426" xr:uid="{AF38CECB-1AE1-46DE-9616-296B780F00FC}"/>
    <cellStyle name="Normal 93" xfId="427" xr:uid="{16EC0E6D-A025-462F-A2DE-EFCAE063A265}"/>
    <cellStyle name="Normal 94" xfId="428" xr:uid="{237E0066-4BC9-4E51-B032-2071A981DF26}"/>
    <cellStyle name="Normal 95" xfId="429" xr:uid="{FA8857A9-330B-4D09-AAC8-0D4AD4A07171}"/>
    <cellStyle name="Normal 96" xfId="430" xr:uid="{D4132CC2-4621-4778-BC42-2AD4A6234F98}"/>
    <cellStyle name="Normal 97" xfId="431" xr:uid="{F74F755D-C037-48CD-BFD8-E0F1A51DB771}"/>
    <cellStyle name="Normal 98" xfId="432" xr:uid="{F7384AF0-D80D-4906-A569-726254CC28EE}"/>
    <cellStyle name="Normal 99" xfId="433" xr:uid="{4E3B272C-AC33-4131-B113-BD8C9AD3114D}"/>
    <cellStyle name="Normale_General Items Lot 1" xfId="434" xr:uid="{749C3E26-6EED-4D5E-B82B-9937BA122E65}"/>
    <cellStyle name="Note 2" xfId="435" xr:uid="{5EA45DEE-3121-45CA-B822-BA706CB2B494}"/>
    <cellStyle name="Note 2 2" xfId="436" xr:uid="{BC16CC4E-494D-4A10-8C6D-21FCCC0C9EC0}"/>
    <cellStyle name="Output 2" xfId="437" xr:uid="{E87946CA-B245-426A-A819-C5316214C44D}"/>
    <cellStyle name="Output 2 2" xfId="438" xr:uid="{25221DB9-99CA-40B4-92BB-CA057B0873F2}"/>
    <cellStyle name="Percent 2" xfId="439" xr:uid="{75535E6D-860C-4355-9D8A-234A2CF52FA8}"/>
    <cellStyle name="Percent 2 2" xfId="440" xr:uid="{EE32C3FA-EFF7-4CCA-9D82-251EFA1658F9}"/>
    <cellStyle name="Percent 3" xfId="441" xr:uid="{DC4032D6-B2D7-4A7B-B986-B43DC90DC777}"/>
    <cellStyle name="Percent 4" xfId="442" xr:uid="{A1E00A5B-F52E-4112-B5F5-341654654602}"/>
    <cellStyle name="Percent 4 2" xfId="443" xr:uid="{FAD5CED5-FD83-48CD-A611-12DEEBF87E7F}"/>
    <cellStyle name="Style 1" xfId="444" xr:uid="{74A746CC-3DAC-49BE-A1FB-283D093894AE}"/>
    <cellStyle name="TableStyleLight1" xfId="445" xr:uid="{F6746C60-2502-40E4-90C3-448042167D60}"/>
    <cellStyle name="TableStyleLight1 2" xfId="446" xr:uid="{DEDEDBC8-A3FD-4481-BC94-4E3B646A82BB}"/>
    <cellStyle name="Title 2" xfId="447" xr:uid="{609F9636-C64D-49EB-AD60-A1E426C43766}"/>
    <cellStyle name="Total 2" xfId="448" xr:uid="{33B32232-27E7-495F-B98A-B083DD25BD40}"/>
    <cellStyle name="Total 2 2" xfId="449" xr:uid="{8EDE0EAE-0D6A-4CB1-8BC1-B42978625FC2}"/>
    <cellStyle name="Warning Text 2" xfId="450" xr:uid="{7C0F348B-C085-4772-B7FF-4D3521D4E7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0C3D7-66AC-4443-AC6D-F781E8504CEF}">
  <dimension ref="A1:H70"/>
  <sheetViews>
    <sheetView tabSelected="1"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6" sqref="I6"/>
    </sheetView>
  </sheetViews>
  <sheetFormatPr defaultRowHeight="15"/>
  <cols>
    <col min="1" max="1" width="8.5703125" customWidth="1"/>
    <col min="2" max="2" width="12.85546875" customWidth="1"/>
    <col min="3" max="3" width="33.85546875" customWidth="1"/>
    <col min="4" max="4" width="17" customWidth="1"/>
    <col min="5" max="5" width="13.42578125" customWidth="1"/>
    <col min="6" max="6" width="15.85546875" customWidth="1"/>
    <col min="7" max="7" width="16" customWidth="1"/>
    <col min="8" max="8" width="12.85546875" customWidth="1"/>
  </cols>
  <sheetData>
    <row r="1" spans="1:8" ht="36" customHeight="1" thickBot="1">
      <c r="A1" s="63"/>
      <c r="B1" s="63"/>
      <c r="C1" s="63" t="s">
        <v>42</v>
      </c>
      <c r="D1" s="63"/>
      <c r="E1" s="63"/>
      <c r="F1" s="63"/>
      <c r="G1" s="63"/>
      <c r="H1" s="63"/>
    </row>
    <row r="2" spans="1:8" ht="33.75" customHeight="1" thickTop="1">
      <c r="A2" s="38" t="s">
        <v>0</v>
      </c>
      <c r="B2" s="40" t="s">
        <v>5</v>
      </c>
      <c r="C2" s="42" t="s">
        <v>6</v>
      </c>
      <c r="D2" s="42" t="s">
        <v>41</v>
      </c>
      <c r="E2" s="42"/>
      <c r="F2" s="42"/>
      <c r="G2" s="42"/>
      <c r="H2" s="42"/>
    </row>
    <row r="3" spans="1:8" ht="60" customHeight="1" thickBot="1">
      <c r="A3" s="39"/>
      <c r="B3" s="41"/>
      <c r="C3" s="43"/>
      <c r="D3" s="2" t="s">
        <v>7</v>
      </c>
      <c r="E3" s="2"/>
      <c r="F3" s="3" t="s">
        <v>8</v>
      </c>
      <c r="G3" s="3"/>
      <c r="H3" s="2" t="s">
        <v>9</v>
      </c>
    </row>
    <row r="4" spans="1:8" ht="50.25" thickBot="1">
      <c r="A4" s="54">
        <v>1</v>
      </c>
      <c r="B4" s="56" t="s">
        <v>1</v>
      </c>
      <c r="C4" s="4" t="s">
        <v>18</v>
      </c>
      <c r="D4" s="5">
        <v>1</v>
      </c>
      <c r="E4" s="5">
        <f>D4*1500</f>
        <v>1500</v>
      </c>
      <c r="F4" s="5">
        <v>1</v>
      </c>
      <c r="G4" s="23">
        <f>F4*1500</f>
        <v>1500</v>
      </c>
      <c r="H4" s="6">
        <f>IFERROR(D4/F4*100,0)</f>
        <v>100</v>
      </c>
    </row>
    <row r="5" spans="1:8" ht="33.75" thickBot="1">
      <c r="A5" s="53"/>
      <c r="B5" s="57"/>
      <c r="C5" s="7" t="s">
        <v>19</v>
      </c>
      <c r="D5" s="8">
        <v>3</v>
      </c>
      <c r="E5" s="5">
        <f t="shared" ref="E5:E6" si="0">D5*1500</f>
        <v>4500</v>
      </c>
      <c r="F5" s="9">
        <v>2.9333333333333331</v>
      </c>
      <c r="G5" s="9">
        <f>F5*1500</f>
        <v>4400</v>
      </c>
      <c r="H5" s="6">
        <f>IFERROR(D5/F5*100,0)</f>
        <v>102.27272727272727</v>
      </c>
    </row>
    <row r="6" spans="1:8" ht="50.25" thickBot="1">
      <c r="A6" s="53"/>
      <c r="B6" s="57"/>
      <c r="C6" s="7" t="s">
        <v>20</v>
      </c>
      <c r="D6" s="8">
        <v>2</v>
      </c>
      <c r="E6" s="5">
        <f t="shared" si="0"/>
        <v>3000</v>
      </c>
      <c r="F6" s="9">
        <v>2.0093749999999999</v>
      </c>
      <c r="G6" s="9">
        <f>F6*1500</f>
        <v>3014.0625</v>
      </c>
      <c r="H6" s="6">
        <f t="shared" ref="H6:H48" si="1">IFERROR(D6/F6*100,0)</f>
        <v>99.533437013996888</v>
      </c>
    </row>
    <row r="7" spans="1:8" ht="16.5">
      <c r="A7" s="53"/>
      <c r="B7" s="57"/>
      <c r="C7" s="7"/>
      <c r="D7" s="18"/>
      <c r="E7" s="5">
        <f t="shared" ref="E7" si="2">D7*700</f>
        <v>0</v>
      </c>
      <c r="F7" s="9"/>
      <c r="G7" s="9"/>
      <c r="H7" s="6">
        <f t="shared" si="1"/>
        <v>0</v>
      </c>
    </row>
    <row r="8" spans="1:8" ht="16.5">
      <c r="A8" s="53"/>
      <c r="B8" s="57"/>
      <c r="C8" s="10"/>
      <c r="D8" s="8"/>
      <c r="E8" s="8"/>
      <c r="F8" s="8"/>
      <c r="G8" s="8"/>
      <c r="H8" s="6">
        <f t="shared" si="1"/>
        <v>0</v>
      </c>
    </row>
    <row r="9" spans="1:8" ht="16.5">
      <c r="A9" s="53"/>
      <c r="B9" s="57"/>
      <c r="C9" s="10"/>
      <c r="D9" s="8"/>
      <c r="E9" s="8"/>
      <c r="F9" s="8"/>
      <c r="G9" s="8"/>
      <c r="H9" s="6"/>
    </row>
    <row r="10" spans="1:8" ht="16.5">
      <c r="A10" s="53"/>
      <c r="B10" s="57"/>
      <c r="C10" s="10"/>
      <c r="D10" s="8"/>
      <c r="E10" s="8"/>
      <c r="F10" s="8"/>
      <c r="G10" s="8"/>
      <c r="H10" s="6"/>
    </row>
    <row r="11" spans="1:8" ht="16.5">
      <c r="A11" s="55"/>
      <c r="B11" s="58"/>
      <c r="C11" s="10"/>
      <c r="D11" s="24"/>
      <c r="E11" s="25">
        <f>SUM(E4:E10)</f>
        <v>9000</v>
      </c>
      <c r="F11" s="24"/>
      <c r="G11" s="25">
        <f>SUM(G4:G10)</f>
        <v>8914.0625</v>
      </c>
      <c r="H11" s="26">
        <f t="shared" si="1"/>
        <v>0</v>
      </c>
    </row>
    <row r="12" spans="1:8" ht="16.5">
      <c r="A12" s="44">
        <v>2</v>
      </c>
      <c r="B12" s="59" t="s">
        <v>17</v>
      </c>
      <c r="C12" s="11"/>
      <c r="D12" s="8"/>
      <c r="E12" s="8">
        <f>D12*500</f>
        <v>0</v>
      </c>
      <c r="F12" s="8"/>
      <c r="G12" s="8"/>
      <c r="H12" s="6">
        <f t="shared" si="1"/>
        <v>0</v>
      </c>
    </row>
    <row r="13" spans="1:8" ht="16.5">
      <c r="A13" s="45"/>
      <c r="B13" s="57"/>
      <c r="C13" s="11"/>
      <c r="D13" s="8"/>
      <c r="E13" s="8"/>
      <c r="F13" s="8"/>
      <c r="G13" s="8"/>
      <c r="H13" s="6">
        <f t="shared" si="1"/>
        <v>0</v>
      </c>
    </row>
    <row r="14" spans="1:8" ht="16.5">
      <c r="A14" s="45"/>
      <c r="B14" s="57"/>
      <c r="C14" s="11"/>
      <c r="D14" s="8"/>
      <c r="E14" s="8"/>
      <c r="F14" s="8"/>
      <c r="G14" s="8"/>
      <c r="H14" s="6"/>
    </row>
    <row r="15" spans="1:8" ht="16.5">
      <c r="A15" s="45"/>
      <c r="B15" s="57"/>
      <c r="C15" s="11"/>
      <c r="D15" s="8"/>
      <c r="E15" s="8"/>
      <c r="F15" s="8"/>
      <c r="G15" s="8"/>
      <c r="H15" s="6"/>
    </row>
    <row r="16" spans="1:8" ht="16.5">
      <c r="A16" s="45"/>
      <c r="B16" s="57"/>
      <c r="C16" s="11"/>
      <c r="D16" s="8"/>
      <c r="E16" s="8"/>
      <c r="F16" s="8"/>
      <c r="G16" s="8"/>
      <c r="H16" s="6"/>
    </row>
    <row r="17" spans="1:8" ht="16.5">
      <c r="A17" s="45"/>
      <c r="B17" s="57"/>
      <c r="C17" s="11"/>
      <c r="D17" s="8"/>
      <c r="E17" s="8"/>
      <c r="F17" s="8"/>
      <c r="G17" s="8"/>
      <c r="H17" s="6"/>
    </row>
    <row r="18" spans="1:8" ht="16.5">
      <c r="A18" s="46"/>
      <c r="B18" s="58"/>
      <c r="C18" s="12"/>
      <c r="D18" s="24"/>
      <c r="E18" s="25">
        <f>SUM(E12:E17)</f>
        <v>0</v>
      </c>
      <c r="F18" s="24"/>
      <c r="G18" s="25">
        <f>SUM(G12:G17)</f>
        <v>0</v>
      </c>
      <c r="H18" s="26">
        <f t="shared" si="1"/>
        <v>0</v>
      </c>
    </row>
    <row r="19" spans="1:8" ht="16.5">
      <c r="A19" s="44">
        <v>3</v>
      </c>
      <c r="B19" s="47" t="s">
        <v>12</v>
      </c>
      <c r="C19" s="11"/>
      <c r="D19" s="8"/>
      <c r="E19" s="8">
        <f>D19*500</f>
        <v>0</v>
      </c>
      <c r="F19" s="8"/>
      <c r="G19" s="8"/>
      <c r="H19" s="6">
        <f t="shared" si="1"/>
        <v>0</v>
      </c>
    </row>
    <row r="20" spans="1:8" ht="16.5">
      <c r="A20" s="45"/>
      <c r="B20" s="48"/>
      <c r="C20" s="11"/>
      <c r="D20" s="8"/>
      <c r="E20" s="8">
        <f>D20*500</f>
        <v>0</v>
      </c>
      <c r="F20" s="8"/>
      <c r="G20" s="8"/>
      <c r="H20" s="6"/>
    </row>
    <row r="21" spans="1:8" ht="16.5">
      <c r="A21" s="45"/>
      <c r="B21" s="48"/>
      <c r="C21" s="11"/>
      <c r="D21" s="8"/>
      <c r="E21" s="8"/>
      <c r="F21" s="8"/>
      <c r="G21" s="8"/>
      <c r="H21" s="6"/>
    </row>
    <row r="22" spans="1:8" ht="16.5">
      <c r="A22" s="45"/>
      <c r="B22" s="48"/>
      <c r="C22" s="11"/>
      <c r="D22" s="8"/>
      <c r="E22" s="8"/>
      <c r="F22" s="8"/>
      <c r="G22" s="8"/>
      <c r="H22" s="6"/>
    </row>
    <row r="23" spans="1:8" ht="16.5">
      <c r="A23" s="46"/>
      <c r="B23" s="49"/>
      <c r="C23" s="11"/>
      <c r="D23" s="24"/>
      <c r="E23" s="25">
        <f>SUM(E19:E22)</f>
        <v>0</v>
      </c>
      <c r="F23" s="24"/>
      <c r="G23" s="25">
        <f>SUM(G19:G22)</f>
        <v>0</v>
      </c>
      <c r="H23" s="26">
        <f t="shared" si="1"/>
        <v>0</v>
      </c>
    </row>
    <row r="24" spans="1:8" ht="33.75" customHeight="1">
      <c r="A24" s="52">
        <v>4</v>
      </c>
      <c r="B24" s="50" t="s">
        <v>3</v>
      </c>
      <c r="C24" s="35" t="s">
        <v>21</v>
      </c>
      <c r="D24" s="8">
        <v>7</v>
      </c>
      <c r="E24" s="8">
        <f>D24*600</f>
        <v>4200</v>
      </c>
      <c r="F24" s="8">
        <v>7.3571428571428568</v>
      </c>
      <c r="G24" s="8">
        <f>F24*600</f>
        <v>4414.2857142857138</v>
      </c>
      <c r="H24" s="6">
        <f t="shared" si="1"/>
        <v>95.145631067961162</v>
      </c>
    </row>
    <row r="25" spans="1:8" ht="31.5">
      <c r="A25" s="53"/>
      <c r="B25" s="51"/>
      <c r="C25" s="36" t="s">
        <v>22</v>
      </c>
      <c r="D25" s="8"/>
      <c r="E25" s="8">
        <f t="shared" ref="E25:E45" si="3">D25*600</f>
        <v>0</v>
      </c>
      <c r="F25" s="8">
        <v>0</v>
      </c>
      <c r="G25" s="8">
        <f t="shared" ref="G25:G30" si="4">F25*600</f>
        <v>0</v>
      </c>
      <c r="H25" s="6">
        <f t="shared" si="1"/>
        <v>0</v>
      </c>
    </row>
    <row r="26" spans="1:8" ht="16.5">
      <c r="A26" s="53"/>
      <c r="B26" s="51"/>
      <c r="C26" s="11" t="s">
        <v>23</v>
      </c>
      <c r="D26" s="13">
        <v>58.702000000000005</v>
      </c>
      <c r="E26" s="8">
        <f t="shared" si="3"/>
        <v>35221.200000000004</v>
      </c>
      <c r="F26" s="8">
        <v>355.71428571428572</v>
      </c>
      <c r="G26" s="8">
        <f t="shared" si="4"/>
        <v>213428.57142857142</v>
      </c>
      <c r="H26" s="6">
        <f t="shared" si="1"/>
        <v>16.502570281124498</v>
      </c>
    </row>
    <row r="27" spans="1:8" ht="16.5">
      <c r="A27" s="53"/>
      <c r="B27" s="51"/>
      <c r="C27" s="11" t="s">
        <v>24</v>
      </c>
      <c r="D27" s="13">
        <v>19</v>
      </c>
      <c r="E27" s="8">
        <f t="shared" si="3"/>
        <v>11400</v>
      </c>
      <c r="F27" s="8">
        <v>33.333333333333336</v>
      </c>
      <c r="G27" s="8">
        <f t="shared" si="4"/>
        <v>20000</v>
      </c>
      <c r="H27" s="6">
        <f t="shared" si="1"/>
        <v>56.999999999999993</v>
      </c>
    </row>
    <row r="28" spans="1:8" ht="16.5">
      <c r="A28" s="53"/>
      <c r="B28" s="51"/>
      <c r="C28" s="11" t="s">
        <v>25</v>
      </c>
      <c r="D28" s="13">
        <v>9.3333333333333339</v>
      </c>
      <c r="E28" s="8">
        <f t="shared" si="3"/>
        <v>5600</v>
      </c>
      <c r="F28" s="8">
        <v>167.38461538461539</v>
      </c>
      <c r="G28" s="8">
        <f t="shared" si="4"/>
        <v>100430.76923076923</v>
      </c>
      <c r="H28" s="6">
        <f t="shared" si="1"/>
        <v>5.5759803921568629</v>
      </c>
    </row>
    <row r="29" spans="1:8" ht="33">
      <c r="A29" s="53"/>
      <c r="B29" s="51"/>
      <c r="C29" s="11" t="s">
        <v>26</v>
      </c>
      <c r="D29" s="13">
        <v>6</v>
      </c>
      <c r="E29" s="8">
        <f t="shared" si="3"/>
        <v>3600</v>
      </c>
      <c r="F29" s="8">
        <v>118.4</v>
      </c>
      <c r="G29" s="8">
        <f t="shared" si="4"/>
        <v>71040</v>
      </c>
      <c r="H29" s="6">
        <f t="shared" si="1"/>
        <v>5.0675675675675675</v>
      </c>
    </row>
    <row r="30" spans="1:8" ht="30.75">
      <c r="A30" s="53"/>
      <c r="B30" s="51"/>
      <c r="C30" s="33" t="s">
        <v>27</v>
      </c>
      <c r="D30" s="32">
        <v>1</v>
      </c>
      <c r="E30" s="8">
        <f t="shared" si="3"/>
        <v>600</v>
      </c>
      <c r="F30" s="34">
        <v>1.1428571428571428</v>
      </c>
      <c r="G30" s="8">
        <f t="shared" si="4"/>
        <v>685.71428571428567</v>
      </c>
      <c r="H30" s="6">
        <f t="shared" si="1"/>
        <v>87.5</v>
      </c>
    </row>
    <row r="31" spans="1:8" ht="49.5">
      <c r="A31" s="53"/>
      <c r="B31" s="51"/>
      <c r="C31" s="19" t="s">
        <v>18</v>
      </c>
      <c r="D31" s="20">
        <v>3</v>
      </c>
      <c r="E31" s="8">
        <f t="shared" si="3"/>
        <v>1800</v>
      </c>
      <c r="F31" s="21">
        <v>3</v>
      </c>
      <c r="G31" s="8">
        <f t="shared" ref="G31:G46" si="5">F31*600</f>
        <v>1800</v>
      </c>
      <c r="H31" s="6">
        <f t="shared" ref="H31:H46" si="6">IFERROR(D31/F31*100,0)</f>
        <v>100</v>
      </c>
    </row>
    <row r="32" spans="1:8" ht="33">
      <c r="A32" s="53"/>
      <c r="B32" s="51"/>
      <c r="C32" s="19" t="s">
        <v>19</v>
      </c>
      <c r="D32" s="20">
        <v>10</v>
      </c>
      <c r="E32" s="8">
        <f t="shared" si="3"/>
        <v>6000</v>
      </c>
      <c r="F32" s="21">
        <v>11.733333333333333</v>
      </c>
      <c r="G32" s="8">
        <f t="shared" si="5"/>
        <v>7039.9999999999991</v>
      </c>
      <c r="H32" s="6">
        <f t="shared" si="6"/>
        <v>85.227272727272734</v>
      </c>
    </row>
    <row r="33" spans="1:8" ht="49.5">
      <c r="A33" s="53"/>
      <c r="B33" s="51"/>
      <c r="C33" s="19" t="s">
        <v>20</v>
      </c>
      <c r="D33" s="20">
        <v>6</v>
      </c>
      <c r="E33" s="8">
        <f t="shared" si="3"/>
        <v>3600</v>
      </c>
      <c r="F33" s="21">
        <v>6.0281249999999993</v>
      </c>
      <c r="G33" s="8">
        <f t="shared" si="5"/>
        <v>3616.8749999999995</v>
      </c>
      <c r="H33" s="6">
        <f t="shared" si="6"/>
        <v>99.533437013996902</v>
      </c>
    </row>
    <row r="34" spans="1:8" ht="16.5">
      <c r="A34" s="53"/>
      <c r="B34" s="51"/>
      <c r="C34" s="19" t="s">
        <v>25</v>
      </c>
      <c r="D34" s="20">
        <v>21</v>
      </c>
      <c r="E34" s="8">
        <f t="shared" si="3"/>
        <v>12600</v>
      </c>
      <c r="F34" s="21">
        <v>98.461538461538467</v>
      </c>
      <c r="G34" s="8">
        <f t="shared" si="5"/>
        <v>59076.923076923078</v>
      </c>
      <c r="H34" s="6">
        <f t="shared" si="6"/>
        <v>21.328124999999996</v>
      </c>
    </row>
    <row r="35" spans="1:8" ht="33">
      <c r="A35" s="53"/>
      <c r="B35" s="51"/>
      <c r="C35" s="19" t="s">
        <v>28</v>
      </c>
      <c r="D35" s="20">
        <v>24.266666666666666</v>
      </c>
      <c r="E35" s="8">
        <f t="shared" si="3"/>
        <v>14560</v>
      </c>
      <c r="F35" s="21">
        <v>37.142857142857146</v>
      </c>
      <c r="G35" s="8">
        <f t="shared" si="5"/>
        <v>22285.714285714286</v>
      </c>
      <c r="H35" s="6">
        <f t="shared" si="6"/>
        <v>65.333333333333314</v>
      </c>
    </row>
    <row r="36" spans="1:8" ht="16.5">
      <c r="A36" s="53"/>
      <c r="B36" s="51"/>
      <c r="C36" s="19" t="s">
        <v>29</v>
      </c>
      <c r="D36" s="20">
        <v>6.3</v>
      </c>
      <c r="E36" s="8">
        <f t="shared" si="3"/>
        <v>3780</v>
      </c>
      <c r="F36" s="21">
        <v>9.6428571428571423</v>
      </c>
      <c r="G36" s="8">
        <f t="shared" si="5"/>
        <v>5785.7142857142853</v>
      </c>
      <c r="H36" s="6">
        <f t="shared" si="6"/>
        <v>65.333333333333329</v>
      </c>
    </row>
    <row r="37" spans="1:8" ht="33">
      <c r="A37" s="53"/>
      <c r="B37" s="51"/>
      <c r="C37" s="19" t="s">
        <v>30</v>
      </c>
      <c r="D37" s="20">
        <v>8</v>
      </c>
      <c r="E37" s="8">
        <f t="shared" si="3"/>
        <v>4800</v>
      </c>
      <c r="F37" s="21">
        <v>0</v>
      </c>
      <c r="G37" s="8">
        <f t="shared" si="5"/>
        <v>0</v>
      </c>
      <c r="H37" s="6">
        <f t="shared" si="6"/>
        <v>0</v>
      </c>
    </row>
    <row r="38" spans="1:8" ht="66">
      <c r="A38" s="53"/>
      <c r="B38" s="51"/>
      <c r="C38" s="19" t="s">
        <v>31</v>
      </c>
      <c r="D38" s="20">
        <v>16</v>
      </c>
      <c r="E38" s="8">
        <f t="shared" si="3"/>
        <v>9600</v>
      </c>
      <c r="F38" s="21">
        <v>0</v>
      </c>
      <c r="G38" s="8">
        <f t="shared" si="5"/>
        <v>0</v>
      </c>
      <c r="H38" s="6">
        <f t="shared" si="6"/>
        <v>0</v>
      </c>
    </row>
    <row r="39" spans="1:8" ht="49.5">
      <c r="A39" s="53"/>
      <c r="B39" s="51"/>
      <c r="C39" s="19" t="s">
        <v>32</v>
      </c>
      <c r="D39" s="20">
        <v>14</v>
      </c>
      <c r="E39" s="8">
        <f t="shared" si="3"/>
        <v>8400</v>
      </c>
      <c r="F39" s="21">
        <v>0</v>
      </c>
      <c r="G39" s="8">
        <f t="shared" si="5"/>
        <v>0</v>
      </c>
      <c r="H39" s="6">
        <f t="shared" si="6"/>
        <v>0</v>
      </c>
    </row>
    <row r="40" spans="1:8" ht="33">
      <c r="A40" s="53"/>
      <c r="B40" s="51"/>
      <c r="C40" s="19" t="s">
        <v>33</v>
      </c>
      <c r="D40" s="20">
        <v>12</v>
      </c>
      <c r="E40" s="8">
        <f t="shared" si="3"/>
        <v>7200</v>
      </c>
      <c r="F40" s="21">
        <v>0</v>
      </c>
      <c r="G40" s="8">
        <f t="shared" si="5"/>
        <v>0</v>
      </c>
      <c r="H40" s="6">
        <f t="shared" si="6"/>
        <v>0</v>
      </c>
    </row>
    <row r="41" spans="1:8" ht="33">
      <c r="A41" s="53"/>
      <c r="B41" s="51"/>
      <c r="C41" s="19" t="s">
        <v>34</v>
      </c>
      <c r="D41" s="20">
        <v>9</v>
      </c>
      <c r="E41" s="37"/>
      <c r="F41" s="21">
        <v>0</v>
      </c>
      <c r="G41" s="8">
        <f t="shared" si="5"/>
        <v>0</v>
      </c>
      <c r="H41" s="6">
        <f t="shared" si="6"/>
        <v>0</v>
      </c>
    </row>
    <row r="42" spans="1:8" ht="33">
      <c r="A42" s="53"/>
      <c r="B42" s="51"/>
      <c r="C42" s="19" t="s">
        <v>35</v>
      </c>
      <c r="D42" s="20">
        <v>5</v>
      </c>
      <c r="E42" s="37"/>
      <c r="F42" s="21">
        <v>0</v>
      </c>
      <c r="G42" s="8">
        <f t="shared" si="5"/>
        <v>0</v>
      </c>
      <c r="H42" s="6">
        <f t="shared" si="6"/>
        <v>0</v>
      </c>
    </row>
    <row r="43" spans="1:8" ht="16.5">
      <c r="A43" s="53"/>
      <c r="B43" s="51"/>
      <c r="C43" s="19" t="s">
        <v>36</v>
      </c>
      <c r="D43" s="20">
        <v>8</v>
      </c>
      <c r="E43" s="37"/>
      <c r="F43" s="21">
        <v>0</v>
      </c>
      <c r="G43" s="8">
        <f t="shared" si="5"/>
        <v>0</v>
      </c>
      <c r="H43" s="6">
        <f t="shared" si="6"/>
        <v>0</v>
      </c>
    </row>
    <row r="44" spans="1:8" ht="16.5">
      <c r="A44" s="53"/>
      <c r="B44" s="51"/>
      <c r="C44" s="19" t="s">
        <v>37</v>
      </c>
      <c r="D44" s="20">
        <v>9</v>
      </c>
      <c r="E44" s="8">
        <f t="shared" si="3"/>
        <v>5400</v>
      </c>
      <c r="F44" s="21">
        <v>0</v>
      </c>
      <c r="G44" s="8">
        <f t="shared" si="5"/>
        <v>0</v>
      </c>
      <c r="H44" s="6">
        <f t="shared" si="6"/>
        <v>0</v>
      </c>
    </row>
    <row r="45" spans="1:8" ht="33">
      <c r="A45" s="53"/>
      <c r="B45" s="51"/>
      <c r="C45" s="19" t="s">
        <v>39</v>
      </c>
      <c r="D45" s="20">
        <v>24</v>
      </c>
      <c r="E45" s="8">
        <f t="shared" si="3"/>
        <v>14400</v>
      </c>
      <c r="F45" s="21">
        <v>17.857142857142858</v>
      </c>
      <c r="G45" s="8">
        <f t="shared" si="5"/>
        <v>10714.285714285714</v>
      </c>
      <c r="H45" s="6">
        <f t="shared" si="6"/>
        <v>134.39999999999998</v>
      </c>
    </row>
    <row r="46" spans="1:8" ht="49.5">
      <c r="A46" s="53"/>
      <c r="B46" s="51"/>
      <c r="C46" s="19" t="s">
        <v>40</v>
      </c>
      <c r="D46" s="20">
        <v>31</v>
      </c>
      <c r="E46" s="20"/>
      <c r="F46" s="21">
        <v>0</v>
      </c>
      <c r="G46" s="8">
        <f t="shared" si="5"/>
        <v>0</v>
      </c>
      <c r="H46" s="6">
        <f t="shared" si="6"/>
        <v>0</v>
      </c>
    </row>
    <row r="47" spans="1:8" ht="16.5">
      <c r="A47" s="53"/>
      <c r="B47" s="51"/>
      <c r="C47" s="19"/>
      <c r="D47" s="27"/>
      <c r="E47" s="31">
        <f>SUM(E24:E46)</f>
        <v>152761.20000000001</v>
      </c>
      <c r="F47" s="29"/>
      <c r="G47" s="31">
        <f>SUM(G24:G46)</f>
        <v>520318.85302197793</v>
      </c>
      <c r="H47" s="30"/>
    </row>
    <row r="48" spans="1:8" ht="16.5">
      <c r="A48" s="52">
        <v>5</v>
      </c>
      <c r="B48" s="50" t="s">
        <v>16</v>
      </c>
      <c r="C48" s="19" t="s">
        <v>15</v>
      </c>
      <c r="D48" s="20"/>
      <c r="E48" s="20">
        <f>D48*1000</f>
        <v>0</v>
      </c>
      <c r="F48" s="21"/>
      <c r="G48" s="21"/>
      <c r="H48" s="22">
        <f t="shared" si="1"/>
        <v>0</v>
      </c>
    </row>
    <row r="49" spans="1:8" ht="16.5">
      <c r="A49" s="53"/>
      <c r="B49" s="51"/>
      <c r="C49" s="19"/>
      <c r="D49" s="20"/>
      <c r="E49" s="20"/>
      <c r="F49" s="21"/>
      <c r="G49" s="21"/>
      <c r="H49" s="22"/>
    </row>
    <row r="50" spans="1:8" ht="16.5">
      <c r="A50" s="53"/>
      <c r="B50" s="51"/>
      <c r="C50" s="19"/>
      <c r="D50" s="20"/>
      <c r="E50" s="20"/>
      <c r="F50" s="21"/>
      <c r="G50" s="21"/>
      <c r="H50" s="22"/>
    </row>
    <row r="51" spans="1:8" ht="16.5">
      <c r="A51" s="53"/>
      <c r="B51" s="51"/>
      <c r="C51" s="19"/>
      <c r="D51" s="20"/>
      <c r="E51" s="20"/>
      <c r="F51" s="21"/>
      <c r="G51" s="21"/>
      <c r="H51" s="22"/>
    </row>
    <row r="52" spans="1:8" ht="16.5">
      <c r="A52" s="55"/>
      <c r="B52" s="60"/>
      <c r="C52" s="19"/>
      <c r="D52" s="27"/>
      <c r="E52" s="28">
        <f>SUM(E48:E50)</f>
        <v>0</v>
      </c>
      <c r="F52" s="29"/>
      <c r="G52" s="28">
        <f>SUM(G48:G50)</f>
        <v>0</v>
      </c>
      <c r="H52" s="30"/>
    </row>
    <row r="53" spans="1:8" ht="16.5">
      <c r="A53" s="53">
        <v>6</v>
      </c>
      <c r="B53" s="61" t="s">
        <v>10</v>
      </c>
      <c r="C53" s="19" t="s">
        <v>14</v>
      </c>
      <c r="D53" s="20"/>
      <c r="E53" s="20">
        <f>D53*700</f>
        <v>0</v>
      </c>
      <c r="F53" s="21"/>
      <c r="G53" s="21"/>
      <c r="H53" s="22">
        <f t="shared" ref="H53" si="7">IFERROR(D53/F53*100,0)</f>
        <v>0</v>
      </c>
    </row>
    <row r="54" spans="1:8" ht="16.5">
      <c r="A54" s="53"/>
      <c r="B54" s="61"/>
      <c r="C54" s="19"/>
      <c r="D54" s="20"/>
      <c r="E54" s="20"/>
      <c r="F54" s="21"/>
      <c r="G54" s="21"/>
      <c r="H54" s="22"/>
    </row>
    <row r="55" spans="1:8" ht="16.5">
      <c r="A55" s="53"/>
      <c r="B55" s="61"/>
      <c r="C55" s="19"/>
      <c r="D55" s="20"/>
      <c r="E55" s="20"/>
      <c r="F55" s="21"/>
      <c r="G55" s="21"/>
      <c r="H55" s="22"/>
    </row>
    <row r="56" spans="1:8" ht="16.5">
      <c r="A56" s="55"/>
      <c r="B56" s="62"/>
      <c r="C56" s="19"/>
      <c r="D56" s="27"/>
      <c r="E56" s="28">
        <f>SUM(E53:E55)</f>
        <v>0</v>
      </c>
      <c r="F56" s="29"/>
      <c r="G56" s="28">
        <f>SUM(G53:G55)</f>
        <v>0</v>
      </c>
      <c r="H56" s="30"/>
    </row>
    <row r="57" spans="1:8" ht="33">
      <c r="A57" s="44">
        <v>7</v>
      </c>
      <c r="B57" s="59" t="s">
        <v>2</v>
      </c>
      <c r="C57" s="11" t="s">
        <v>30</v>
      </c>
      <c r="D57" s="8">
        <v>2</v>
      </c>
      <c r="E57" s="8">
        <f>D57*1500</f>
        <v>3000</v>
      </c>
      <c r="F57" s="8"/>
      <c r="G57" s="8"/>
      <c r="H57" s="6">
        <f t="shared" ref="H57:H58" si="8">IFERROR(D57/F57*100,0)</f>
        <v>0</v>
      </c>
    </row>
    <row r="58" spans="1:8" ht="33">
      <c r="A58" s="45"/>
      <c r="B58" s="57"/>
      <c r="C58" s="11" t="s">
        <v>38</v>
      </c>
      <c r="D58" s="8">
        <v>1</v>
      </c>
      <c r="E58" s="8">
        <f>D58*1500</f>
        <v>1500</v>
      </c>
      <c r="F58" s="8"/>
      <c r="G58" s="8"/>
      <c r="H58" s="6">
        <f t="shared" si="8"/>
        <v>0</v>
      </c>
    </row>
    <row r="59" spans="1:8" ht="16.5">
      <c r="A59" s="45"/>
      <c r="B59" s="57"/>
      <c r="C59" s="11"/>
      <c r="D59" s="8"/>
      <c r="E59" s="8"/>
      <c r="F59" s="8"/>
      <c r="G59" s="8"/>
      <c r="H59" s="6"/>
    </row>
    <row r="60" spans="1:8" ht="16.5">
      <c r="A60" s="45"/>
      <c r="B60" s="57"/>
      <c r="C60" s="11"/>
      <c r="D60" s="8"/>
      <c r="E60" s="8"/>
      <c r="F60" s="8"/>
      <c r="G60" s="8"/>
      <c r="H60" s="6"/>
    </row>
    <row r="61" spans="1:8" ht="16.5">
      <c r="A61" s="45"/>
      <c r="B61" s="57"/>
      <c r="C61" s="11"/>
      <c r="D61" s="8"/>
      <c r="E61" s="8"/>
      <c r="F61" s="8"/>
      <c r="G61" s="8"/>
      <c r="H61" s="6"/>
    </row>
    <row r="62" spans="1:8" ht="16.5">
      <c r="A62" s="46"/>
      <c r="B62" s="58"/>
      <c r="C62" s="12"/>
      <c r="D62" s="24"/>
      <c r="E62" s="25">
        <f>SUM(E57:E61)</f>
        <v>4500</v>
      </c>
      <c r="F62" s="24"/>
      <c r="G62" s="25">
        <f>SUM(G57:G61)</f>
        <v>0</v>
      </c>
      <c r="H62" s="26">
        <f>IFERROR(D62/F62*100,0)</f>
        <v>0</v>
      </c>
    </row>
    <row r="63" spans="1:8" ht="16.5">
      <c r="A63" s="44">
        <v>8</v>
      </c>
      <c r="B63" s="59" t="s">
        <v>11</v>
      </c>
      <c r="C63" s="11" t="s">
        <v>13</v>
      </c>
      <c r="D63" s="8"/>
      <c r="E63" s="8">
        <f>D63*500</f>
        <v>0</v>
      </c>
      <c r="F63" s="8"/>
      <c r="G63" s="8"/>
      <c r="H63" s="6">
        <f t="shared" ref="H63" si="9">IFERROR(D63/F63*100,0)</f>
        <v>0</v>
      </c>
    </row>
    <row r="64" spans="1:8" ht="16.5">
      <c r="A64" s="45"/>
      <c r="B64" s="57"/>
      <c r="C64" s="11"/>
      <c r="D64" s="8"/>
      <c r="E64" s="8"/>
      <c r="F64" s="8"/>
      <c r="G64" s="8"/>
      <c r="H64" s="6"/>
    </row>
    <row r="65" spans="1:8" ht="16.5">
      <c r="A65" s="45"/>
      <c r="B65" s="57"/>
      <c r="C65" s="11"/>
      <c r="D65" s="8"/>
      <c r="E65" s="8"/>
      <c r="F65" s="8"/>
      <c r="G65" s="8"/>
      <c r="H65" s="6"/>
    </row>
    <row r="66" spans="1:8" ht="16.5">
      <c r="A66" s="45"/>
      <c r="B66" s="57"/>
      <c r="C66" s="11"/>
      <c r="D66" s="8"/>
      <c r="E66" s="8"/>
      <c r="F66" s="8"/>
      <c r="G66" s="8"/>
      <c r="H66" s="6"/>
    </row>
    <row r="67" spans="1:8" ht="16.5">
      <c r="A67" s="45"/>
      <c r="B67" s="57"/>
      <c r="C67" s="11"/>
      <c r="D67" s="8"/>
      <c r="E67" s="8"/>
      <c r="F67" s="8"/>
      <c r="G67" s="8"/>
      <c r="H67" s="6"/>
    </row>
    <row r="68" spans="1:8" ht="16.5">
      <c r="A68" s="46"/>
      <c r="B68" s="58"/>
      <c r="C68" s="12"/>
      <c r="D68" s="24"/>
      <c r="E68" s="25">
        <f>SUM(E63:E67)</f>
        <v>0</v>
      </c>
      <c r="F68" s="24"/>
      <c r="G68" s="25">
        <f>SUM(G63:G67)</f>
        <v>0</v>
      </c>
      <c r="H68" s="26">
        <f t="shared" ref="H68" si="10">IFERROR(D68/F68*100,0)</f>
        <v>0</v>
      </c>
    </row>
    <row r="69" spans="1:8" ht="42" customHeight="1" thickBot="1">
      <c r="A69" s="1"/>
      <c r="B69" s="14"/>
      <c r="C69" s="15" t="s">
        <v>4</v>
      </c>
      <c r="D69" s="16"/>
      <c r="E69" s="16"/>
      <c r="F69" s="16"/>
      <c r="G69" s="16"/>
      <c r="H69" s="17"/>
    </row>
    <row r="70" spans="1:8" ht="15.75" thickTop="1"/>
  </sheetData>
  <mergeCells count="20">
    <mergeCell ref="A63:A68"/>
    <mergeCell ref="B63:B68"/>
    <mergeCell ref="A48:A52"/>
    <mergeCell ref="B48:B52"/>
    <mergeCell ref="A53:A56"/>
    <mergeCell ref="B53:B56"/>
    <mergeCell ref="A57:A62"/>
    <mergeCell ref="B57:B62"/>
    <mergeCell ref="A19:A23"/>
    <mergeCell ref="B19:B23"/>
    <mergeCell ref="B24:B47"/>
    <mergeCell ref="A24:A47"/>
    <mergeCell ref="A4:A11"/>
    <mergeCell ref="B4:B11"/>
    <mergeCell ref="A12:A18"/>
    <mergeCell ref="B12:B18"/>
    <mergeCell ref="A2:A3"/>
    <mergeCell ref="B2:B3"/>
    <mergeCell ref="C2:C3"/>
    <mergeCell ref="D2:H2"/>
  </mergeCells>
  <pageMargins left="0.45" right="0.2" top="0.75" bottom="0.75" header="0.3" footer="0.3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 usage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mohammed</dc:creator>
  <cp:lastModifiedBy>Engdaw Admasu</cp:lastModifiedBy>
  <dcterms:created xsi:type="dcterms:W3CDTF">2025-09-09T13:19:55Z</dcterms:created>
  <dcterms:modified xsi:type="dcterms:W3CDTF">2026-02-11T07:11:02Z</dcterms:modified>
</cp:coreProperties>
</file>